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a\Downloads\"/>
    </mc:Choice>
  </mc:AlternateContent>
  <xr:revisionPtr revIDLastSave="0" documentId="8_{F5AECA3A-5306-4B01-B2D3-574020A356CA}" xr6:coauthVersionLast="47" xr6:coauthVersionMax="47" xr10:uidLastSave="{00000000-0000-0000-0000-000000000000}"/>
  <bookViews>
    <workbookView xWindow="9204" yWindow="1476" windowWidth="13116" windowHeight="11112" firstSheet="1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F14" i="8"/>
  <c r="F15" i="8"/>
  <c r="F16" i="8"/>
  <c r="F7" i="8" s="1"/>
  <c r="F13" i="8"/>
  <c r="F12" i="8"/>
  <c r="F11" i="8"/>
  <c r="B5" i="4"/>
  <c r="B6" i="4"/>
  <c r="B7" i="4"/>
  <c r="B8" i="4"/>
  <c r="B9" i="4"/>
  <c r="B10" i="4"/>
  <c r="B11" i="4"/>
  <c r="B12" i="4"/>
  <c r="B13" i="4"/>
  <c r="B4" i="4"/>
  <c r="E5" i="5"/>
  <c r="E6" i="5"/>
  <c r="E7" i="5"/>
  <c r="E8" i="5"/>
  <c r="E9" i="5"/>
  <c r="E10" i="5"/>
  <c r="E11" i="5"/>
  <c r="E12" i="5"/>
  <c r="E13" i="5"/>
  <c r="E14" i="5"/>
  <c r="E15" i="5"/>
  <c r="E4" i="5"/>
  <c r="G6" i="6"/>
  <c r="G7" i="6"/>
  <c r="G8" i="6"/>
  <c r="G5" i="6"/>
  <c r="F6" i="6"/>
  <c r="F7" i="6"/>
  <c r="F8" i="6"/>
  <c r="F5" i="6"/>
  <c r="E6" i="6"/>
  <c r="E7" i="6"/>
  <c r="E8" i="6"/>
  <c r="D6" i="6"/>
  <c r="D7" i="6"/>
  <c r="D8" i="6"/>
  <c r="E5" i="6"/>
  <c r="D5" i="6"/>
  <c r="K15" i="7"/>
  <c r="E15" i="7"/>
  <c r="F15" i="7"/>
  <c r="G15" i="7"/>
  <c r="H15" i="7"/>
  <c r="I15" i="7"/>
  <c r="J15" i="7"/>
  <c r="E16" i="7"/>
  <c r="F16" i="7"/>
  <c r="G16" i="7"/>
  <c r="H16" i="7"/>
  <c r="I16" i="7"/>
  <c r="J16" i="7"/>
  <c r="K16" i="7"/>
  <c r="E17" i="7"/>
  <c r="F17" i="7"/>
  <c r="G17" i="7"/>
  <c r="H17" i="7"/>
  <c r="I17" i="7"/>
  <c r="J17" i="7"/>
  <c r="K17" i="7"/>
  <c r="E18" i="7"/>
  <c r="F18" i="7"/>
  <c r="G18" i="7"/>
  <c r="H18" i="7"/>
  <c r="I18" i="7"/>
  <c r="J18" i="7"/>
  <c r="K18" i="7"/>
  <c r="E14" i="7"/>
  <c r="F14" i="7"/>
  <c r="G14" i="7"/>
  <c r="H14" i="7"/>
  <c r="I14" i="7"/>
  <c r="J14" i="7"/>
  <c r="K14" i="7"/>
  <c r="E13" i="7"/>
  <c r="F13" i="7"/>
  <c r="G13" i="7"/>
  <c r="H13" i="7"/>
  <c r="I13" i="7"/>
  <c r="J13" i="7"/>
  <c r="K13" i="7"/>
  <c r="E12" i="7"/>
  <c r="F12" i="7"/>
  <c r="G12" i="7"/>
  <c r="H12" i="7"/>
  <c r="I12" i="7"/>
  <c r="J12" i="7"/>
  <c r="K12" i="7"/>
  <c r="E11" i="7"/>
  <c r="F11" i="7"/>
  <c r="G11" i="7"/>
  <c r="H11" i="7"/>
  <c r="I11" i="7"/>
  <c r="J11" i="7"/>
  <c r="K11" i="7"/>
  <c r="E10" i="7"/>
  <c r="F10" i="7"/>
  <c r="G10" i="7"/>
  <c r="H10" i="7"/>
  <c r="I10" i="7"/>
  <c r="J10" i="7"/>
  <c r="K10" i="7"/>
  <c r="D10" i="7"/>
  <c r="D11" i="7"/>
  <c r="D12" i="7"/>
  <c r="D13" i="7"/>
  <c r="D14" i="7"/>
  <c r="D15" i="7"/>
  <c r="D16" i="7"/>
  <c r="D17" i="7"/>
  <c r="D18" i="7"/>
  <c r="E9" i="7"/>
  <c r="F9" i="7"/>
  <c r="G9" i="7"/>
  <c r="H9" i="7"/>
  <c r="I9" i="7"/>
  <c r="J9" i="7"/>
  <c r="K9" i="7"/>
  <c r="D9" i="7"/>
  <c r="C9" i="7"/>
  <c r="C10" i="7"/>
  <c r="C12" i="7"/>
  <c r="C13" i="7"/>
  <c r="C14" i="7"/>
  <c r="C15" i="7"/>
  <c r="C16" i="7"/>
  <c r="C17" i="7"/>
  <c r="C18" i="7"/>
  <c r="C11" i="7"/>
  <c r="B9" i="7"/>
  <c r="B11" i="7"/>
  <c r="B12" i="7"/>
  <c r="B13" i="7"/>
  <c r="B14" i="7"/>
  <c r="B15" i="7"/>
  <c r="B16" i="7"/>
  <c r="B17" i="7"/>
  <c r="B18" i="7"/>
  <c r="B10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<sst xmlns="http://schemas.openxmlformats.org/spreadsheetml/2006/main" count="54" uniqueCount="52">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</sst>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\ _L_s_-;\-* #,##0.00\ _L_s_-;_-* &quot;-&quot;??\ _L_s_-;_-@_-"/>
    <numFmt numFmtId="166" formatCode="\ #,##0.00\ ;\-#,##0.00\ ;&quot; -&quot;#\ ;@\ "/>
    <numFmt numFmtId="167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6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7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164" fontId="2" fillId="0" borderId="1" xfId="1" applyFont="1" applyBorder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2" fillId="0" borderId="0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164" fontId="2" fillId="0" borderId="0" xfId="1" applyFont="1" applyBorder="1" applyAlignment="1">
      <alignment horizontal="left" vertical="center" wrapText="1"/>
    </xf>
    <xf numFmtId="164" fontId="2" fillId="0" borderId="12" xfId="1" applyFont="1" applyBorder="1" applyAlignment="1">
      <alignment horizontal="left" vertical="center" wrapText="1"/>
    </xf>
    <xf numFmtId="164" fontId="2" fillId="0" borderId="0" xfId="1" applyFont="1" applyBorder="1" applyAlignment="1">
      <alignment horizontal="center" vertical="center" wrapText="1"/>
    </xf>
    <xf numFmtId="43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4" sqref="B4"/>
    </sheetView>
  </sheetViews>
  <sheetFormatPr defaultColWidth="8.88671875" defaultRowHeight="17.399999999999999" x14ac:dyDescent="0.3"/>
  <cols>
    <col min="1" max="1" width="12.6640625" style="3" customWidth="1"/>
    <col min="2" max="2" width="51.33203125" style="3" customWidth="1"/>
    <col min="3" max="16384" width="8.88671875" style="3"/>
  </cols>
  <sheetData>
    <row r="1" spans="1:22" s="1" customFormat="1" ht="36" customHeight="1" thickBot="1" x14ac:dyDescent="0.35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ht="26.4" customHeight="1" x14ac:dyDescent="0.3">
      <c r="A3" s="2" t="s">
        <v>0</v>
      </c>
      <c r="B3" s="2" t="s">
        <v>31</v>
      </c>
    </row>
    <row r="4" spans="1:22" x14ac:dyDescent="0.3">
      <c r="A4" s="4">
        <v>1</v>
      </c>
      <c r="B4" s="24">
        <f>IF(A4&gt;=3,A4*2.9, A4*3.2)</f>
        <v>3.2</v>
      </c>
    </row>
    <row r="5" spans="1:22" x14ac:dyDescent="0.3">
      <c r="A5" s="4">
        <v>2</v>
      </c>
      <c r="B5" s="24">
        <f t="shared" ref="B5:B7" si="0">IF(A5&gt;=3,A5*2.9, A5*3.2)</f>
        <v>6.4</v>
      </c>
    </row>
    <row r="6" spans="1:22" x14ac:dyDescent="0.3">
      <c r="A6" s="4">
        <v>3</v>
      </c>
      <c r="B6" s="24">
        <f t="shared" si="0"/>
        <v>8.6999999999999993</v>
      </c>
    </row>
    <row r="7" spans="1:22" x14ac:dyDescent="0.3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D15" sqref="D15:K15"/>
    </sheetView>
  </sheetViews>
  <sheetFormatPr defaultRowHeight="14.4" x14ac:dyDescent="0.3"/>
  <cols>
    <col min="1" max="1" width="6.33203125" customWidth="1"/>
  </cols>
  <sheetData>
    <row r="1" spans="1:13" ht="20.25" customHeight="1" x14ac:dyDescent="0.4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4">
      <c r="A2" s="37" t="s">
        <v>50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4">
      <c r="A3" s="38" t="s">
        <v>51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4">
      <c r="A4" s="38" t="s">
        <v>36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45">
      <c r="A5" s="39" t="s">
        <v>37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3"/>
    <row r="7" spans="1:13" ht="20.25" customHeight="1" x14ac:dyDescent="0.3"/>
    <row r="8" spans="1:13" ht="30.75" customHeight="1" x14ac:dyDescent="0.3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3">
      <c r="A9" s="28">
        <v>2</v>
      </c>
      <c r="B9" s="31">
        <f>($A9^2)+(B$8^2)-2*$A9*B$8*COS(RADIANS($G$2))</f>
        <v>1.3458181694295965</v>
      </c>
      <c r="C9" s="31">
        <f t="shared" ref="C9:C10" si="0">($A9^2)+(C$8^2)-2*$A9*C$8*COS(RADIANS($G$2))</f>
        <v>2.0374545082887892</v>
      </c>
      <c r="D9" s="31">
        <f>($A9^2)+(D8^2)-2*$A9*$B8*COS(RADIANS($G$2))</f>
        <v>25.345818169429595</v>
      </c>
      <c r="E9" s="31">
        <f t="shared" ref="E9:K9" si="1">($A9^2)+(E8^2)-2*$A9*$B8*COS(RADIANS($G$2))</f>
        <v>49.345818169429599</v>
      </c>
      <c r="F9" s="31">
        <f t="shared" si="1"/>
        <v>81.345818169429592</v>
      </c>
      <c r="G9" s="31">
        <f t="shared" si="1"/>
        <v>121.34581816942959</v>
      </c>
      <c r="H9" s="31">
        <f t="shared" si="1"/>
        <v>169.34581816942961</v>
      </c>
      <c r="I9" s="31">
        <f t="shared" si="1"/>
        <v>225.34581816942961</v>
      </c>
      <c r="J9" s="31">
        <f t="shared" si="1"/>
        <v>289.34581816942961</v>
      </c>
      <c r="K9" s="31">
        <f t="shared" si="1"/>
        <v>361.34581816942961</v>
      </c>
    </row>
    <row r="10" spans="1:13" x14ac:dyDescent="0.3">
      <c r="A10" s="28">
        <v>4</v>
      </c>
      <c r="B10" s="31">
        <f>($A10^2)+(B$8^2)-2*$A10*B$8*COS(RADIANS($G$2))</f>
        <v>9.691636338859194</v>
      </c>
      <c r="C10" s="31">
        <f t="shared" si="0"/>
        <v>3.0749090165775783</v>
      </c>
      <c r="D10" s="31">
        <f>($A10^2)+(D$8^2)-2*$A10*D$8*COS(RADIANS($G$2))</f>
        <v>4.4581816942959662</v>
      </c>
      <c r="E10" s="31">
        <f t="shared" ref="E10:K11" si="2">($A10^2)+(E$8^2)-2*$A10*E$8*COS(RADIANS($G$2))</f>
        <v>13.841454372014354</v>
      </c>
      <c r="F10" s="31">
        <f t="shared" si="2"/>
        <v>31.224727049732735</v>
      </c>
      <c r="G10" s="31">
        <f t="shared" si="2"/>
        <v>56.60799972745113</v>
      </c>
      <c r="H10" s="31">
        <f t="shared" si="2"/>
        <v>89.991272405169511</v>
      </c>
      <c r="I10" s="31">
        <f t="shared" si="2"/>
        <v>131.37454508288789</v>
      </c>
      <c r="J10" s="31">
        <f t="shared" si="2"/>
        <v>180.75781776060629</v>
      </c>
      <c r="K10" s="31">
        <f t="shared" si="2"/>
        <v>238.14109043832468</v>
      </c>
    </row>
    <row r="11" spans="1:13" x14ac:dyDescent="0.3">
      <c r="A11" s="28">
        <v>6</v>
      </c>
      <c r="B11" s="31">
        <f t="shared" ref="B11:K18" si="3">($A11^2)+(B$8^2)-2*$A11*B$8*COS(RADIANS($G$2))</f>
        <v>26.037454508288789</v>
      </c>
      <c r="C11" s="31">
        <f>($A11^2)+(C$8^2)-2*$A11*C$8*COS(RADIANS($G$2))</f>
        <v>12.112363524866367</v>
      </c>
      <c r="D11" s="31">
        <f>($A11^2)+(D$8^2)-2*$A11*D$8*COS(RADIANS($G$2))</f>
        <v>6.1872725414439458</v>
      </c>
      <c r="E11" s="31">
        <f t="shared" si="2"/>
        <v>8.2621815580215241</v>
      </c>
      <c r="F11" s="31">
        <f t="shared" si="2"/>
        <v>18.337090574599102</v>
      </c>
      <c r="G11" s="31">
        <f t="shared" si="2"/>
        <v>36.411999591176681</v>
      </c>
      <c r="H11" s="31">
        <f t="shared" si="2"/>
        <v>62.486908607754259</v>
      </c>
      <c r="I11" s="31">
        <f t="shared" si="2"/>
        <v>96.561817624331837</v>
      </c>
      <c r="J11" s="31">
        <f t="shared" si="2"/>
        <v>138.63672664090942</v>
      </c>
      <c r="K11" s="31">
        <f t="shared" si="2"/>
        <v>188.71163565748699</v>
      </c>
    </row>
    <row r="12" spans="1:13" x14ac:dyDescent="0.3">
      <c r="A12" s="28">
        <v>8</v>
      </c>
      <c r="B12" s="31">
        <f t="shared" si="3"/>
        <v>50.383272677718388</v>
      </c>
      <c r="C12" s="31">
        <f t="shared" si="3"/>
        <v>29.149818033155157</v>
      </c>
      <c r="D12" s="31">
        <f t="shared" si="3"/>
        <v>15.916363388591932</v>
      </c>
      <c r="E12" s="31">
        <f t="shared" si="3"/>
        <v>10.682908744028708</v>
      </c>
      <c r="F12" s="31">
        <f t="shared" si="3"/>
        <v>13.44945409946547</v>
      </c>
      <c r="G12" s="31">
        <f t="shared" si="3"/>
        <v>24.21599945490226</v>
      </c>
      <c r="H12" s="31">
        <f t="shared" si="3"/>
        <v>42.982544810339022</v>
      </c>
      <c r="I12" s="31">
        <f t="shared" si="3"/>
        <v>69.749090165775783</v>
      </c>
      <c r="J12" s="31">
        <f t="shared" si="3"/>
        <v>104.51563552121257</v>
      </c>
      <c r="K12" s="31">
        <f t="shared" si="3"/>
        <v>147.28218087664936</v>
      </c>
    </row>
    <row r="13" spans="1:13" x14ac:dyDescent="0.3">
      <c r="A13" s="28">
        <v>10</v>
      </c>
      <c r="B13" s="31">
        <f t="shared" si="3"/>
        <v>82.729090847147987</v>
      </c>
      <c r="C13" s="31">
        <f t="shared" si="3"/>
        <v>54.187272541443946</v>
      </c>
      <c r="D13" s="31">
        <f t="shared" si="3"/>
        <v>33.645454235739919</v>
      </c>
      <c r="E13" s="31">
        <f t="shared" si="3"/>
        <v>21.103635930035878</v>
      </c>
      <c r="F13" s="31">
        <f t="shared" si="3"/>
        <v>16.561817624331837</v>
      </c>
      <c r="G13" s="31">
        <f t="shared" si="3"/>
        <v>20.019999318627811</v>
      </c>
      <c r="H13" s="31">
        <f t="shared" si="3"/>
        <v>31.478181012923784</v>
      </c>
      <c r="I13" s="31">
        <f t="shared" si="3"/>
        <v>50.936362707219757</v>
      </c>
      <c r="J13" s="31">
        <f t="shared" si="3"/>
        <v>78.394544401515702</v>
      </c>
      <c r="K13" s="31">
        <f t="shared" si="3"/>
        <v>113.85272609581165</v>
      </c>
    </row>
    <row r="14" spans="1:13" x14ac:dyDescent="0.3">
      <c r="A14" s="28">
        <v>12</v>
      </c>
      <c r="B14" s="31">
        <f t="shared" si="3"/>
        <v>123.07490901657758</v>
      </c>
      <c r="C14" s="31">
        <f t="shared" si="3"/>
        <v>87.224727049732735</v>
      </c>
      <c r="D14" s="31">
        <f t="shared" si="3"/>
        <v>59.374545082887892</v>
      </c>
      <c r="E14" s="31">
        <f t="shared" si="3"/>
        <v>39.524363116043048</v>
      </c>
      <c r="F14" s="31">
        <f t="shared" si="3"/>
        <v>27.674181149198205</v>
      </c>
      <c r="G14" s="31">
        <f t="shared" si="3"/>
        <v>23.823999182353361</v>
      </c>
      <c r="H14" s="31">
        <f t="shared" si="3"/>
        <v>27.973817215508518</v>
      </c>
      <c r="I14" s="31">
        <f t="shared" si="3"/>
        <v>40.123635248663675</v>
      </c>
      <c r="J14" s="31">
        <f t="shared" si="3"/>
        <v>60.273453281818831</v>
      </c>
      <c r="K14" s="31">
        <f t="shared" si="3"/>
        <v>88.423271314973988</v>
      </c>
    </row>
    <row r="15" spans="1:13" x14ac:dyDescent="0.3">
      <c r="A15" s="28">
        <v>14</v>
      </c>
      <c r="B15" s="31">
        <f t="shared" si="3"/>
        <v>171.42072718600718</v>
      </c>
      <c r="C15" s="31">
        <f t="shared" si="3"/>
        <v>128.26218155802152</v>
      </c>
      <c r="D15" s="31">
        <f t="shared" si="3"/>
        <v>93.103635930035878</v>
      </c>
      <c r="E15" s="31">
        <f t="shared" si="3"/>
        <v>65.945090302050232</v>
      </c>
      <c r="F15" s="31">
        <f t="shared" si="3"/>
        <v>46.786544674064572</v>
      </c>
      <c r="G15" s="31">
        <f t="shared" si="3"/>
        <v>35.627999046078912</v>
      </c>
      <c r="H15" s="31">
        <f t="shared" si="3"/>
        <v>32.469453418093281</v>
      </c>
      <c r="I15" s="31">
        <f t="shared" si="3"/>
        <v>37.310907790107649</v>
      </c>
      <c r="J15" s="31">
        <f t="shared" si="3"/>
        <v>50.15236216212196</v>
      </c>
      <c r="K15" s="31">
        <f t="shared" si="3"/>
        <v>70.993816534136329</v>
      </c>
    </row>
    <row r="16" spans="1:13" x14ac:dyDescent="0.3">
      <c r="A16" s="28">
        <v>16</v>
      </c>
      <c r="B16" s="31">
        <f t="shared" si="3"/>
        <v>227.76654535543676</v>
      </c>
      <c r="C16" s="31">
        <f t="shared" si="3"/>
        <v>177.29963606631031</v>
      </c>
      <c r="D16" s="31">
        <f t="shared" si="3"/>
        <v>134.83272677718386</v>
      </c>
      <c r="E16" s="31">
        <f t="shared" si="3"/>
        <v>100.36581748805742</v>
      </c>
      <c r="F16" s="31">
        <f t="shared" si="3"/>
        <v>73.89890819893094</v>
      </c>
      <c r="G16" s="31">
        <f t="shared" si="3"/>
        <v>55.43199890980452</v>
      </c>
      <c r="H16" s="31">
        <f t="shared" si="3"/>
        <v>44.965089620678043</v>
      </c>
      <c r="I16" s="31">
        <f t="shared" si="3"/>
        <v>42.498180331551566</v>
      </c>
      <c r="J16" s="31">
        <f t="shared" si="3"/>
        <v>48.031271042425146</v>
      </c>
      <c r="K16" s="31">
        <f t="shared" si="3"/>
        <v>61.564361753298726</v>
      </c>
    </row>
    <row r="17" spans="1:11" x14ac:dyDescent="0.3">
      <c r="A17" s="28">
        <v>18</v>
      </c>
      <c r="B17" s="31">
        <f t="shared" si="3"/>
        <v>292.1123635248664</v>
      </c>
      <c r="C17" s="31">
        <f t="shared" si="3"/>
        <v>234.3370905745991</v>
      </c>
      <c r="D17" s="31">
        <f t="shared" si="3"/>
        <v>184.56181762433184</v>
      </c>
      <c r="E17" s="31">
        <f t="shared" si="3"/>
        <v>142.78654467406457</v>
      </c>
      <c r="F17" s="31">
        <f t="shared" si="3"/>
        <v>109.01127172379734</v>
      </c>
      <c r="G17" s="31">
        <f t="shared" si="3"/>
        <v>83.235998773530071</v>
      </c>
      <c r="H17" s="31">
        <f t="shared" si="3"/>
        <v>65.460725823262806</v>
      </c>
      <c r="I17" s="31">
        <f t="shared" si="3"/>
        <v>55.68545287299554</v>
      </c>
      <c r="J17" s="31">
        <f t="shared" si="3"/>
        <v>53.910179922728275</v>
      </c>
      <c r="K17" s="31">
        <f t="shared" si="3"/>
        <v>60.134906972460954</v>
      </c>
    </row>
    <row r="18" spans="1:11" x14ac:dyDescent="0.3">
      <c r="A18" s="28">
        <v>20</v>
      </c>
      <c r="B18" s="31">
        <f t="shared" si="3"/>
        <v>364.45818169429594</v>
      </c>
      <c r="C18" s="31">
        <f t="shared" si="3"/>
        <v>299.37454508288789</v>
      </c>
      <c r="D18" s="31">
        <f t="shared" si="3"/>
        <v>242.29090847147984</v>
      </c>
      <c r="E18" s="31">
        <f t="shared" si="3"/>
        <v>193.20727186007176</v>
      </c>
      <c r="F18" s="31">
        <f t="shared" si="3"/>
        <v>152.12363524866367</v>
      </c>
      <c r="G18" s="31">
        <f t="shared" si="3"/>
        <v>119.03999863725562</v>
      </c>
      <c r="H18" s="31">
        <f t="shared" si="3"/>
        <v>93.956362025847568</v>
      </c>
      <c r="I18" s="31">
        <f t="shared" si="3"/>
        <v>76.872725414439515</v>
      </c>
      <c r="J18" s="31">
        <f t="shared" si="3"/>
        <v>67.789088803031404</v>
      </c>
      <c r="K18" s="31">
        <f t="shared" si="3"/>
        <v>66.705452191623294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:G8"/>
    </sheetView>
  </sheetViews>
  <sheetFormatPr defaultColWidth="8.88671875" defaultRowHeight="17.399999999999999" x14ac:dyDescent="0.3"/>
  <cols>
    <col min="1" max="3" width="8.88671875" style="6"/>
    <col min="4" max="6" width="10.88671875" style="6" customWidth="1"/>
    <col min="7" max="7" width="33.88671875" style="9" customWidth="1"/>
    <col min="8" max="16384" width="8.88671875" style="6"/>
  </cols>
  <sheetData>
    <row r="1" spans="1:22" s="1" customFormat="1" ht="66.599999999999994" customHeight="1" thickBot="1" x14ac:dyDescent="0.35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x14ac:dyDescent="0.3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3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3">
      <c r="A5" s="8">
        <v>3</v>
      </c>
      <c r="B5" s="8">
        <v>4</v>
      </c>
      <c r="C5" s="8">
        <v>5</v>
      </c>
      <c r="D5" s="22" t="str">
        <f>IF(A5+B5&gt;C5,"Jā","Nē")</f>
        <v>Jā</v>
      </c>
      <c r="E5" s="22" t="str">
        <f>IF(A5+C5&gt;B5,"Jā","Nē")</f>
        <v>Jā</v>
      </c>
      <c r="F5" s="22" t="str">
        <f>IF(B5+C5&gt;A5,"Jā","Nē")</f>
        <v>Jā</v>
      </c>
      <c r="G5" s="23" t="str">
        <f>IF(OR(D5="Nē",E5="Nē",F5="Nē"),"Nē","Jā")</f>
        <v>Jā</v>
      </c>
    </row>
    <row r="6" spans="1:22" x14ac:dyDescent="0.3">
      <c r="A6" s="8">
        <v>4</v>
      </c>
      <c r="B6" s="8">
        <v>2</v>
      </c>
      <c r="C6" s="8">
        <v>2</v>
      </c>
      <c r="D6" s="22" t="str">
        <f t="shared" ref="D6:D8" si="0">IF(A6+B6&gt;C6,"Jā","Nē")</f>
        <v>Jā</v>
      </c>
      <c r="E6" s="22" t="str">
        <f t="shared" ref="E6:E8" si="1">IF(A6+C6&gt;B6,"Jā","Nē")</f>
        <v>Jā</v>
      </c>
      <c r="F6" s="22" t="str">
        <f t="shared" ref="F6:F8" si="2">IF(B6+C6&gt;A6,"Jā","Nē")</f>
        <v>Nē</v>
      </c>
      <c r="G6" s="23" t="str">
        <f t="shared" ref="G6:G8" si="3">IF(OR(D6="Nē",E6="Nē",F6="Nē"),"Nē","Jā")</f>
        <v>Nē</v>
      </c>
    </row>
    <row r="7" spans="1:22" x14ac:dyDescent="0.3">
      <c r="A7" s="8">
        <v>1</v>
      </c>
      <c r="B7" s="8">
        <v>2</v>
      </c>
      <c r="C7" s="8">
        <v>3</v>
      </c>
      <c r="D7" s="22" t="str">
        <f t="shared" si="0"/>
        <v>Nē</v>
      </c>
      <c r="E7" s="22" t="str">
        <f t="shared" si="1"/>
        <v>Jā</v>
      </c>
      <c r="F7" s="22" t="str">
        <f t="shared" si="2"/>
        <v>Jā</v>
      </c>
      <c r="G7" s="23" t="str">
        <f t="shared" si="3"/>
        <v>Nē</v>
      </c>
    </row>
    <row r="8" spans="1:22" x14ac:dyDescent="0.3">
      <c r="A8" s="8">
        <v>20</v>
      </c>
      <c r="B8" s="8">
        <v>14</v>
      </c>
      <c r="C8" s="8">
        <v>12</v>
      </c>
      <c r="D8" s="22" t="str">
        <f t="shared" si="0"/>
        <v>Jā</v>
      </c>
      <c r="E8" s="22" t="str">
        <f t="shared" si="1"/>
        <v>Jā</v>
      </c>
      <c r="F8" s="22" t="str">
        <f t="shared" si="2"/>
        <v>Jā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F13" sqref="F13"/>
    </sheetView>
  </sheetViews>
  <sheetFormatPr defaultRowHeight="17.399999999999999" x14ac:dyDescent="0.3"/>
  <cols>
    <col min="1" max="1" width="17" style="14" customWidth="1"/>
    <col min="2" max="2" width="15.109375" style="14" customWidth="1"/>
    <col min="3" max="3" width="11.5546875" style="14" customWidth="1"/>
    <col min="4" max="4" width="17" style="14" customWidth="1"/>
    <col min="5" max="5" width="21.88671875" style="14" customWidth="1"/>
    <col min="6" max="6" width="13" style="14" customWidth="1"/>
    <col min="7" max="7" width="9.5546875" style="14" customWidth="1"/>
    <col min="8" max="8" width="7.109375" style="14" customWidth="1"/>
    <col min="9" max="9" width="9.5546875" style="14" customWidth="1"/>
    <col min="10" max="10" width="9.6640625" style="14" customWidth="1"/>
    <col min="11" max="11" width="7.109375" style="14" customWidth="1"/>
    <col min="12" max="12" width="7.33203125" style="14" customWidth="1"/>
    <col min="13" max="13" width="8.88671875" style="14"/>
    <col min="14" max="14" width="2.109375" style="14" customWidth="1"/>
    <col min="15" max="16" width="8.88671875" style="14"/>
    <col min="17" max="17" width="10.44140625" style="14" customWidth="1"/>
    <col min="18" max="18" width="2.5546875" style="14" customWidth="1"/>
    <col min="19" max="20" width="8.88671875" style="14"/>
    <col min="21" max="21" width="2.44140625" style="14" customWidth="1"/>
    <col min="22" max="22" width="12.33203125" style="14" customWidth="1"/>
    <col min="23" max="23" width="2.44140625" style="14" customWidth="1"/>
    <col min="24" max="25" width="8.88671875" style="14"/>
    <col min="26" max="26" width="1.88671875" style="14" customWidth="1"/>
    <col min="27" max="27" width="11.44140625" style="14" customWidth="1"/>
    <col min="28" max="256" width="8.88671875" style="14"/>
    <col min="257" max="257" width="10.33203125" style="14" customWidth="1"/>
    <col min="258" max="258" width="8.88671875" style="14"/>
    <col min="259" max="259" width="5" style="14" customWidth="1"/>
    <col min="260" max="260" width="11.5546875" style="14" customWidth="1"/>
    <col min="261" max="261" width="13.109375" style="14" customWidth="1"/>
    <col min="262" max="262" width="13" style="14" customWidth="1"/>
    <col min="263" max="263" width="9.5546875" style="14" customWidth="1"/>
    <col min="264" max="264" width="7.109375" style="14" customWidth="1"/>
    <col min="265" max="265" width="9.5546875" style="14" customWidth="1"/>
    <col min="266" max="266" width="9.6640625" style="14" customWidth="1"/>
    <col min="267" max="267" width="7.109375" style="14" customWidth="1"/>
    <col min="268" max="268" width="7.33203125" style="14" customWidth="1"/>
    <col min="269" max="269" width="8.88671875" style="14"/>
    <col min="270" max="270" width="2.109375" style="14" customWidth="1"/>
    <col min="271" max="272" width="8.88671875" style="14"/>
    <col min="273" max="273" width="10.44140625" style="14" customWidth="1"/>
    <col min="274" max="274" width="2.5546875" style="14" customWidth="1"/>
    <col min="275" max="276" width="8.88671875" style="14"/>
    <col min="277" max="277" width="2.44140625" style="14" customWidth="1"/>
    <col min="278" max="278" width="12.33203125" style="14" customWidth="1"/>
    <col min="279" max="279" width="2.44140625" style="14" customWidth="1"/>
    <col min="280" max="281" width="8.88671875" style="14"/>
    <col min="282" max="282" width="1.88671875" style="14" customWidth="1"/>
    <col min="283" max="283" width="11.44140625" style="14" customWidth="1"/>
    <col min="284" max="512" width="8.88671875" style="14"/>
    <col min="513" max="513" width="10.33203125" style="14" customWidth="1"/>
    <col min="514" max="514" width="8.88671875" style="14"/>
    <col min="515" max="515" width="5" style="14" customWidth="1"/>
    <col min="516" max="516" width="11.5546875" style="14" customWidth="1"/>
    <col min="517" max="517" width="13.109375" style="14" customWidth="1"/>
    <col min="518" max="518" width="13" style="14" customWidth="1"/>
    <col min="519" max="519" width="9.5546875" style="14" customWidth="1"/>
    <col min="520" max="520" width="7.109375" style="14" customWidth="1"/>
    <col min="521" max="521" width="9.5546875" style="14" customWidth="1"/>
    <col min="522" max="522" width="9.6640625" style="14" customWidth="1"/>
    <col min="523" max="523" width="7.109375" style="14" customWidth="1"/>
    <col min="524" max="524" width="7.33203125" style="14" customWidth="1"/>
    <col min="525" max="525" width="8.88671875" style="14"/>
    <col min="526" max="526" width="2.109375" style="14" customWidth="1"/>
    <col min="527" max="528" width="8.88671875" style="14"/>
    <col min="529" max="529" width="10.44140625" style="14" customWidth="1"/>
    <col min="530" max="530" width="2.5546875" style="14" customWidth="1"/>
    <col min="531" max="532" width="8.88671875" style="14"/>
    <col min="533" max="533" width="2.44140625" style="14" customWidth="1"/>
    <col min="534" max="534" width="12.33203125" style="14" customWidth="1"/>
    <col min="535" max="535" width="2.44140625" style="14" customWidth="1"/>
    <col min="536" max="537" width="8.88671875" style="14"/>
    <col min="538" max="538" width="1.88671875" style="14" customWidth="1"/>
    <col min="539" max="539" width="11.44140625" style="14" customWidth="1"/>
    <col min="540" max="768" width="8.88671875" style="14"/>
    <col min="769" max="769" width="10.33203125" style="14" customWidth="1"/>
    <col min="770" max="770" width="8.88671875" style="14"/>
    <col min="771" max="771" width="5" style="14" customWidth="1"/>
    <col min="772" max="772" width="11.5546875" style="14" customWidth="1"/>
    <col min="773" max="773" width="13.109375" style="14" customWidth="1"/>
    <col min="774" max="774" width="13" style="14" customWidth="1"/>
    <col min="775" max="775" width="9.5546875" style="14" customWidth="1"/>
    <col min="776" max="776" width="7.109375" style="14" customWidth="1"/>
    <col min="777" max="777" width="9.5546875" style="14" customWidth="1"/>
    <col min="778" max="778" width="9.6640625" style="14" customWidth="1"/>
    <col min="779" max="779" width="7.109375" style="14" customWidth="1"/>
    <col min="780" max="780" width="7.33203125" style="14" customWidth="1"/>
    <col min="781" max="781" width="8.88671875" style="14"/>
    <col min="782" max="782" width="2.109375" style="14" customWidth="1"/>
    <col min="783" max="784" width="8.88671875" style="14"/>
    <col min="785" max="785" width="10.44140625" style="14" customWidth="1"/>
    <col min="786" max="786" width="2.5546875" style="14" customWidth="1"/>
    <col min="787" max="788" width="8.88671875" style="14"/>
    <col min="789" max="789" width="2.44140625" style="14" customWidth="1"/>
    <col min="790" max="790" width="12.33203125" style="14" customWidth="1"/>
    <col min="791" max="791" width="2.44140625" style="14" customWidth="1"/>
    <col min="792" max="793" width="8.88671875" style="14"/>
    <col min="794" max="794" width="1.88671875" style="14" customWidth="1"/>
    <col min="795" max="795" width="11.44140625" style="14" customWidth="1"/>
    <col min="796" max="1024" width="8.88671875" style="14"/>
    <col min="1025" max="1025" width="10.33203125" style="14" customWidth="1"/>
    <col min="1026" max="1026" width="8.88671875" style="14"/>
    <col min="1027" max="1027" width="5" style="14" customWidth="1"/>
    <col min="1028" max="1028" width="11.5546875" style="14" customWidth="1"/>
    <col min="1029" max="1029" width="13.109375" style="14" customWidth="1"/>
    <col min="1030" max="1030" width="13" style="14" customWidth="1"/>
    <col min="1031" max="1031" width="9.5546875" style="14" customWidth="1"/>
    <col min="1032" max="1032" width="7.109375" style="14" customWidth="1"/>
    <col min="1033" max="1033" width="9.5546875" style="14" customWidth="1"/>
    <col min="1034" max="1034" width="9.6640625" style="14" customWidth="1"/>
    <col min="1035" max="1035" width="7.109375" style="14" customWidth="1"/>
    <col min="1036" max="1036" width="7.33203125" style="14" customWidth="1"/>
    <col min="1037" max="1037" width="8.88671875" style="14"/>
    <col min="1038" max="1038" width="2.109375" style="14" customWidth="1"/>
    <col min="1039" max="1040" width="8.88671875" style="14"/>
    <col min="1041" max="1041" width="10.44140625" style="14" customWidth="1"/>
    <col min="1042" max="1042" width="2.5546875" style="14" customWidth="1"/>
    <col min="1043" max="1044" width="8.88671875" style="14"/>
    <col min="1045" max="1045" width="2.44140625" style="14" customWidth="1"/>
    <col min="1046" max="1046" width="12.33203125" style="14" customWidth="1"/>
    <col min="1047" max="1047" width="2.44140625" style="14" customWidth="1"/>
    <col min="1048" max="1049" width="8.88671875" style="14"/>
    <col min="1050" max="1050" width="1.88671875" style="14" customWidth="1"/>
    <col min="1051" max="1051" width="11.44140625" style="14" customWidth="1"/>
    <col min="1052" max="1280" width="8.88671875" style="14"/>
    <col min="1281" max="1281" width="10.33203125" style="14" customWidth="1"/>
    <col min="1282" max="1282" width="8.88671875" style="14"/>
    <col min="1283" max="1283" width="5" style="14" customWidth="1"/>
    <col min="1284" max="1284" width="11.5546875" style="14" customWidth="1"/>
    <col min="1285" max="1285" width="13.109375" style="14" customWidth="1"/>
    <col min="1286" max="1286" width="13" style="14" customWidth="1"/>
    <col min="1287" max="1287" width="9.5546875" style="14" customWidth="1"/>
    <col min="1288" max="1288" width="7.109375" style="14" customWidth="1"/>
    <col min="1289" max="1289" width="9.5546875" style="14" customWidth="1"/>
    <col min="1290" max="1290" width="9.6640625" style="14" customWidth="1"/>
    <col min="1291" max="1291" width="7.109375" style="14" customWidth="1"/>
    <col min="1292" max="1292" width="7.33203125" style="14" customWidth="1"/>
    <col min="1293" max="1293" width="8.88671875" style="14"/>
    <col min="1294" max="1294" width="2.109375" style="14" customWidth="1"/>
    <col min="1295" max="1296" width="8.88671875" style="14"/>
    <col min="1297" max="1297" width="10.44140625" style="14" customWidth="1"/>
    <col min="1298" max="1298" width="2.5546875" style="14" customWidth="1"/>
    <col min="1299" max="1300" width="8.88671875" style="14"/>
    <col min="1301" max="1301" width="2.44140625" style="14" customWidth="1"/>
    <col min="1302" max="1302" width="12.33203125" style="14" customWidth="1"/>
    <col min="1303" max="1303" width="2.44140625" style="14" customWidth="1"/>
    <col min="1304" max="1305" width="8.88671875" style="14"/>
    <col min="1306" max="1306" width="1.88671875" style="14" customWidth="1"/>
    <col min="1307" max="1307" width="11.44140625" style="14" customWidth="1"/>
    <col min="1308" max="1536" width="8.88671875" style="14"/>
    <col min="1537" max="1537" width="10.33203125" style="14" customWidth="1"/>
    <col min="1538" max="1538" width="8.88671875" style="14"/>
    <col min="1539" max="1539" width="5" style="14" customWidth="1"/>
    <col min="1540" max="1540" width="11.5546875" style="14" customWidth="1"/>
    <col min="1541" max="1541" width="13.109375" style="14" customWidth="1"/>
    <col min="1542" max="1542" width="13" style="14" customWidth="1"/>
    <col min="1543" max="1543" width="9.5546875" style="14" customWidth="1"/>
    <col min="1544" max="1544" width="7.109375" style="14" customWidth="1"/>
    <col min="1545" max="1545" width="9.5546875" style="14" customWidth="1"/>
    <col min="1546" max="1546" width="9.6640625" style="14" customWidth="1"/>
    <col min="1547" max="1547" width="7.109375" style="14" customWidth="1"/>
    <col min="1548" max="1548" width="7.33203125" style="14" customWidth="1"/>
    <col min="1549" max="1549" width="8.88671875" style="14"/>
    <col min="1550" max="1550" width="2.109375" style="14" customWidth="1"/>
    <col min="1551" max="1552" width="8.88671875" style="14"/>
    <col min="1553" max="1553" width="10.44140625" style="14" customWidth="1"/>
    <col min="1554" max="1554" width="2.5546875" style="14" customWidth="1"/>
    <col min="1555" max="1556" width="8.88671875" style="14"/>
    <col min="1557" max="1557" width="2.44140625" style="14" customWidth="1"/>
    <col min="1558" max="1558" width="12.33203125" style="14" customWidth="1"/>
    <col min="1559" max="1559" width="2.44140625" style="14" customWidth="1"/>
    <col min="1560" max="1561" width="8.88671875" style="14"/>
    <col min="1562" max="1562" width="1.88671875" style="14" customWidth="1"/>
    <col min="1563" max="1563" width="11.44140625" style="14" customWidth="1"/>
    <col min="1564" max="1792" width="8.88671875" style="14"/>
    <col min="1793" max="1793" width="10.33203125" style="14" customWidth="1"/>
    <col min="1794" max="1794" width="8.88671875" style="14"/>
    <col min="1795" max="1795" width="5" style="14" customWidth="1"/>
    <col min="1796" max="1796" width="11.5546875" style="14" customWidth="1"/>
    <col min="1797" max="1797" width="13.109375" style="14" customWidth="1"/>
    <col min="1798" max="1798" width="13" style="14" customWidth="1"/>
    <col min="1799" max="1799" width="9.5546875" style="14" customWidth="1"/>
    <col min="1800" max="1800" width="7.109375" style="14" customWidth="1"/>
    <col min="1801" max="1801" width="9.5546875" style="14" customWidth="1"/>
    <col min="1802" max="1802" width="9.6640625" style="14" customWidth="1"/>
    <col min="1803" max="1803" width="7.109375" style="14" customWidth="1"/>
    <col min="1804" max="1804" width="7.33203125" style="14" customWidth="1"/>
    <col min="1805" max="1805" width="8.88671875" style="14"/>
    <col min="1806" max="1806" width="2.109375" style="14" customWidth="1"/>
    <col min="1807" max="1808" width="8.88671875" style="14"/>
    <col min="1809" max="1809" width="10.44140625" style="14" customWidth="1"/>
    <col min="1810" max="1810" width="2.5546875" style="14" customWidth="1"/>
    <col min="1811" max="1812" width="8.88671875" style="14"/>
    <col min="1813" max="1813" width="2.44140625" style="14" customWidth="1"/>
    <col min="1814" max="1814" width="12.33203125" style="14" customWidth="1"/>
    <col min="1815" max="1815" width="2.44140625" style="14" customWidth="1"/>
    <col min="1816" max="1817" width="8.88671875" style="14"/>
    <col min="1818" max="1818" width="1.88671875" style="14" customWidth="1"/>
    <col min="1819" max="1819" width="11.44140625" style="14" customWidth="1"/>
    <col min="1820" max="2048" width="8.88671875" style="14"/>
    <col min="2049" max="2049" width="10.33203125" style="14" customWidth="1"/>
    <col min="2050" max="2050" width="8.88671875" style="14"/>
    <col min="2051" max="2051" width="5" style="14" customWidth="1"/>
    <col min="2052" max="2052" width="11.5546875" style="14" customWidth="1"/>
    <col min="2053" max="2053" width="13.109375" style="14" customWidth="1"/>
    <col min="2054" max="2054" width="13" style="14" customWidth="1"/>
    <col min="2055" max="2055" width="9.5546875" style="14" customWidth="1"/>
    <col min="2056" max="2056" width="7.109375" style="14" customWidth="1"/>
    <col min="2057" max="2057" width="9.5546875" style="14" customWidth="1"/>
    <col min="2058" max="2058" width="9.6640625" style="14" customWidth="1"/>
    <col min="2059" max="2059" width="7.109375" style="14" customWidth="1"/>
    <col min="2060" max="2060" width="7.33203125" style="14" customWidth="1"/>
    <col min="2061" max="2061" width="8.88671875" style="14"/>
    <col min="2062" max="2062" width="2.109375" style="14" customWidth="1"/>
    <col min="2063" max="2064" width="8.88671875" style="14"/>
    <col min="2065" max="2065" width="10.44140625" style="14" customWidth="1"/>
    <col min="2066" max="2066" width="2.5546875" style="14" customWidth="1"/>
    <col min="2067" max="2068" width="8.88671875" style="14"/>
    <col min="2069" max="2069" width="2.44140625" style="14" customWidth="1"/>
    <col min="2070" max="2070" width="12.33203125" style="14" customWidth="1"/>
    <col min="2071" max="2071" width="2.44140625" style="14" customWidth="1"/>
    <col min="2072" max="2073" width="8.88671875" style="14"/>
    <col min="2074" max="2074" width="1.88671875" style="14" customWidth="1"/>
    <col min="2075" max="2075" width="11.44140625" style="14" customWidth="1"/>
    <col min="2076" max="2304" width="8.88671875" style="14"/>
    <col min="2305" max="2305" width="10.33203125" style="14" customWidth="1"/>
    <col min="2306" max="2306" width="8.88671875" style="14"/>
    <col min="2307" max="2307" width="5" style="14" customWidth="1"/>
    <col min="2308" max="2308" width="11.5546875" style="14" customWidth="1"/>
    <col min="2309" max="2309" width="13.109375" style="14" customWidth="1"/>
    <col min="2310" max="2310" width="13" style="14" customWidth="1"/>
    <col min="2311" max="2311" width="9.5546875" style="14" customWidth="1"/>
    <col min="2312" max="2312" width="7.109375" style="14" customWidth="1"/>
    <col min="2313" max="2313" width="9.5546875" style="14" customWidth="1"/>
    <col min="2314" max="2314" width="9.6640625" style="14" customWidth="1"/>
    <col min="2315" max="2315" width="7.109375" style="14" customWidth="1"/>
    <col min="2316" max="2316" width="7.33203125" style="14" customWidth="1"/>
    <col min="2317" max="2317" width="8.88671875" style="14"/>
    <col min="2318" max="2318" width="2.109375" style="14" customWidth="1"/>
    <col min="2319" max="2320" width="8.88671875" style="14"/>
    <col min="2321" max="2321" width="10.44140625" style="14" customWidth="1"/>
    <col min="2322" max="2322" width="2.5546875" style="14" customWidth="1"/>
    <col min="2323" max="2324" width="8.88671875" style="14"/>
    <col min="2325" max="2325" width="2.44140625" style="14" customWidth="1"/>
    <col min="2326" max="2326" width="12.33203125" style="14" customWidth="1"/>
    <col min="2327" max="2327" width="2.44140625" style="14" customWidth="1"/>
    <col min="2328" max="2329" width="8.88671875" style="14"/>
    <col min="2330" max="2330" width="1.88671875" style="14" customWidth="1"/>
    <col min="2331" max="2331" width="11.44140625" style="14" customWidth="1"/>
    <col min="2332" max="2560" width="8.88671875" style="14"/>
    <col min="2561" max="2561" width="10.33203125" style="14" customWidth="1"/>
    <col min="2562" max="2562" width="8.88671875" style="14"/>
    <col min="2563" max="2563" width="5" style="14" customWidth="1"/>
    <col min="2564" max="2564" width="11.5546875" style="14" customWidth="1"/>
    <col min="2565" max="2565" width="13.109375" style="14" customWidth="1"/>
    <col min="2566" max="2566" width="13" style="14" customWidth="1"/>
    <col min="2567" max="2567" width="9.5546875" style="14" customWidth="1"/>
    <col min="2568" max="2568" width="7.109375" style="14" customWidth="1"/>
    <col min="2569" max="2569" width="9.5546875" style="14" customWidth="1"/>
    <col min="2570" max="2570" width="9.6640625" style="14" customWidth="1"/>
    <col min="2571" max="2571" width="7.109375" style="14" customWidth="1"/>
    <col min="2572" max="2572" width="7.33203125" style="14" customWidth="1"/>
    <col min="2573" max="2573" width="8.88671875" style="14"/>
    <col min="2574" max="2574" width="2.109375" style="14" customWidth="1"/>
    <col min="2575" max="2576" width="8.88671875" style="14"/>
    <col min="2577" max="2577" width="10.44140625" style="14" customWidth="1"/>
    <col min="2578" max="2578" width="2.5546875" style="14" customWidth="1"/>
    <col min="2579" max="2580" width="8.88671875" style="14"/>
    <col min="2581" max="2581" width="2.44140625" style="14" customWidth="1"/>
    <col min="2582" max="2582" width="12.33203125" style="14" customWidth="1"/>
    <col min="2583" max="2583" width="2.44140625" style="14" customWidth="1"/>
    <col min="2584" max="2585" width="8.88671875" style="14"/>
    <col min="2586" max="2586" width="1.88671875" style="14" customWidth="1"/>
    <col min="2587" max="2587" width="11.44140625" style="14" customWidth="1"/>
    <col min="2588" max="2816" width="8.88671875" style="14"/>
    <col min="2817" max="2817" width="10.33203125" style="14" customWidth="1"/>
    <col min="2818" max="2818" width="8.88671875" style="14"/>
    <col min="2819" max="2819" width="5" style="14" customWidth="1"/>
    <col min="2820" max="2820" width="11.5546875" style="14" customWidth="1"/>
    <col min="2821" max="2821" width="13.109375" style="14" customWidth="1"/>
    <col min="2822" max="2822" width="13" style="14" customWidth="1"/>
    <col min="2823" max="2823" width="9.5546875" style="14" customWidth="1"/>
    <col min="2824" max="2824" width="7.109375" style="14" customWidth="1"/>
    <col min="2825" max="2825" width="9.5546875" style="14" customWidth="1"/>
    <col min="2826" max="2826" width="9.6640625" style="14" customWidth="1"/>
    <col min="2827" max="2827" width="7.109375" style="14" customWidth="1"/>
    <col min="2828" max="2828" width="7.33203125" style="14" customWidth="1"/>
    <col min="2829" max="2829" width="8.88671875" style="14"/>
    <col min="2830" max="2830" width="2.109375" style="14" customWidth="1"/>
    <col min="2831" max="2832" width="8.88671875" style="14"/>
    <col min="2833" max="2833" width="10.44140625" style="14" customWidth="1"/>
    <col min="2834" max="2834" width="2.5546875" style="14" customWidth="1"/>
    <col min="2835" max="2836" width="8.88671875" style="14"/>
    <col min="2837" max="2837" width="2.44140625" style="14" customWidth="1"/>
    <col min="2838" max="2838" width="12.33203125" style="14" customWidth="1"/>
    <col min="2839" max="2839" width="2.44140625" style="14" customWidth="1"/>
    <col min="2840" max="2841" width="8.88671875" style="14"/>
    <col min="2842" max="2842" width="1.88671875" style="14" customWidth="1"/>
    <col min="2843" max="2843" width="11.44140625" style="14" customWidth="1"/>
    <col min="2844" max="3072" width="8.88671875" style="14"/>
    <col min="3073" max="3073" width="10.33203125" style="14" customWidth="1"/>
    <col min="3074" max="3074" width="8.88671875" style="14"/>
    <col min="3075" max="3075" width="5" style="14" customWidth="1"/>
    <col min="3076" max="3076" width="11.5546875" style="14" customWidth="1"/>
    <col min="3077" max="3077" width="13.109375" style="14" customWidth="1"/>
    <col min="3078" max="3078" width="13" style="14" customWidth="1"/>
    <col min="3079" max="3079" width="9.5546875" style="14" customWidth="1"/>
    <col min="3080" max="3080" width="7.109375" style="14" customWidth="1"/>
    <col min="3081" max="3081" width="9.5546875" style="14" customWidth="1"/>
    <col min="3082" max="3082" width="9.6640625" style="14" customWidth="1"/>
    <col min="3083" max="3083" width="7.109375" style="14" customWidth="1"/>
    <col min="3084" max="3084" width="7.33203125" style="14" customWidth="1"/>
    <col min="3085" max="3085" width="8.88671875" style="14"/>
    <col min="3086" max="3086" width="2.109375" style="14" customWidth="1"/>
    <col min="3087" max="3088" width="8.88671875" style="14"/>
    <col min="3089" max="3089" width="10.44140625" style="14" customWidth="1"/>
    <col min="3090" max="3090" width="2.5546875" style="14" customWidth="1"/>
    <col min="3091" max="3092" width="8.88671875" style="14"/>
    <col min="3093" max="3093" width="2.44140625" style="14" customWidth="1"/>
    <col min="3094" max="3094" width="12.33203125" style="14" customWidth="1"/>
    <col min="3095" max="3095" width="2.44140625" style="14" customWidth="1"/>
    <col min="3096" max="3097" width="8.88671875" style="14"/>
    <col min="3098" max="3098" width="1.88671875" style="14" customWidth="1"/>
    <col min="3099" max="3099" width="11.44140625" style="14" customWidth="1"/>
    <col min="3100" max="3328" width="8.88671875" style="14"/>
    <col min="3329" max="3329" width="10.33203125" style="14" customWidth="1"/>
    <col min="3330" max="3330" width="8.88671875" style="14"/>
    <col min="3331" max="3331" width="5" style="14" customWidth="1"/>
    <col min="3332" max="3332" width="11.5546875" style="14" customWidth="1"/>
    <col min="3333" max="3333" width="13.109375" style="14" customWidth="1"/>
    <col min="3334" max="3334" width="13" style="14" customWidth="1"/>
    <col min="3335" max="3335" width="9.5546875" style="14" customWidth="1"/>
    <col min="3336" max="3336" width="7.109375" style="14" customWidth="1"/>
    <col min="3337" max="3337" width="9.5546875" style="14" customWidth="1"/>
    <col min="3338" max="3338" width="9.6640625" style="14" customWidth="1"/>
    <col min="3339" max="3339" width="7.109375" style="14" customWidth="1"/>
    <col min="3340" max="3340" width="7.33203125" style="14" customWidth="1"/>
    <col min="3341" max="3341" width="8.88671875" style="14"/>
    <col min="3342" max="3342" width="2.109375" style="14" customWidth="1"/>
    <col min="3343" max="3344" width="8.88671875" style="14"/>
    <col min="3345" max="3345" width="10.44140625" style="14" customWidth="1"/>
    <col min="3346" max="3346" width="2.5546875" style="14" customWidth="1"/>
    <col min="3347" max="3348" width="8.88671875" style="14"/>
    <col min="3349" max="3349" width="2.44140625" style="14" customWidth="1"/>
    <col min="3350" max="3350" width="12.33203125" style="14" customWidth="1"/>
    <col min="3351" max="3351" width="2.44140625" style="14" customWidth="1"/>
    <col min="3352" max="3353" width="8.88671875" style="14"/>
    <col min="3354" max="3354" width="1.88671875" style="14" customWidth="1"/>
    <col min="3355" max="3355" width="11.44140625" style="14" customWidth="1"/>
    <col min="3356" max="3584" width="8.88671875" style="14"/>
    <col min="3585" max="3585" width="10.33203125" style="14" customWidth="1"/>
    <col min="3586" max="3586" width="8.88671875" style="14"/>
    <col min="3587" max="3587" width="5" style="14" customWidth="1"/>
    <col min="3588" max="3588" width="11.5546875" style="14" customWidth="1"/>
    <col min="3589" max="3589" width="13.109375" style="14" customWidth="1"/>
    <col min="3590" max="3590" width="13" style="14" customWidth="1"/>
    <col min="3591" max="3591" width="9.5546875" style="14" customWidth="1"/>
    <col min="3592" max="3592" width="7.109375" style="14" customWidth="1"/>
    <col min="3593" max="3593" width="9.5546875" style="14" customWidth="1"/>
    <col min="3594" max="3594" width="9.6640625" style="14" customWidth="1"/>
    <col min="3595" max="3595" width="7.109375" style="14" customWidth="1"/>
    <col min="3596" max="3596" width="7.33203125" style="14" customWidth="1"/>
    <col min="3597" max="3597" width="8.88671875" style="14"/>
    <col min="3598" max="3598" width="2.109375" style="14" customWidth="1"/>
    <col min="3599" max="3600" width="8.88671875" style="14"/>
    <col min="3601" max="3601" width="10.44140625" style="14" customWidth="1"/>
    <col min="3602" max="3602" width="2.5546875" style="14" customWidth="1"/>
    <col min="3603" max="3604" width="8.88671875" style="14"/>
    <col min="3605" max="3605" width="2.44140625" style="14" customWidth="1"/>
    <col min="3606" max="3606" width="12.33203125" style="14" customWidth="1"/>
    <col min="3607" max="3607" width="2.44140625" style="14" customWidth="1"/>
    <col min="3608" max="3609" width="8.88671875" style="14"/>
    <col min="3610" max="3610" width="1.88671875" style="14" customWidth="1"/>
    <col min="3611" max="3611" width="11.44140625" style="14" customWidth="1"/>
    <col min="3612" max="3840" width="8.88671875" style="14"/>
    <col min="3841" max="3841" width="10.33203125" style="14" customWidth="1"/>
    <col min="3842" max="3842" width="8.88671875" style="14"/>
    <col min="3843" max="3843" width="5" style="14" customWidth="1"/>
    <col min="3844" max="3844" width="11.5546875" style="14" customWidth="1"/>
    <col min="3845" max="3845" width="13.109375" style="14" customWidth="1"/>
    <col min="3846" max="3846" width="13" style="14" customWidth="1"/>
    <col min="3847" max="3847" width="9.5546875" style="14" customWidth="1"/>
    <col min="3848" max="3848" width="7.109375" style="14" customWidth="1"/>
    <col min="3849" max="3849" width="9.5546875" style="14" customWidth="1"/>
    <col min="3850" max="3850" width="9.6640625" style="14" customWidth="1"/>
    <col min="3851" max="3851" width="7.109375" style="14" customWidth="1"/>
    <col min="3852" max="3852" width="7.33203125" style="14" customWidth="1"/>
    <col min="3853" max="3853" width="8.88671875" style="14"/>
    <col min="3854" max="3854" width="2.109375" style="14" customWidth="1"/>
    <col min="3855" max="3856" width="8.88671875" style="14"/>
    <col min="3857" max="3857" width="10.44140625" style="14" customWidth="1"/>
    <col min="3858" max="3858" width="2.5546875" style="14" customWidth="1"/>
    <col min="3859" max="3860" width="8.88671875" style="14"/>
    <col min="3861" max="3861" width="2.44140625" style="14" customWidth="1"/>
    <col min="3862" max="3862" width="12.33203125" style="14" customWidth="1"/>
    <col min="3863" max="3863" width="2.44140625" style="14" customWidth="1"/>
    <col min="3864" max="3865" width="8.88671875" style="14"/>
    <col min="3866" max="3866" width="1.88671875" style="14" customWidth="1"/>
    <col min="3867" max="3867" width="11.44140625" style="14" customWidth="1"/>
    <col min="3868" max="4096" width="8.88671875" style="14"/>
    <col min="4097" max="4097" width="10.33203125" style="14" customWidth="1"/>
    <col min="4098" max="4098" width="8.88671875" style="14"/>
    <col min="4099" max="4099" width="5" style="14" customWidth="1"/>
    <col min="4100" max="4100" width="11.5546875" style="14" customWidth="1"/>
    <col min="4101" max="4101" width="13.109375" style="14" customWidth="1"/>
    <col min="4102" max="4102" width="13" style="14" customWidth="1"/>
    <col min="4103" max="4103" width="9.5546875" style="14" customWidth="1"/>
    <col min="4104" max="4104" width="7.109375" style="14" customWidth="1"/>
    <col min="4105" max="4105" width="9.5546875" style="14" customWidth="1"/>
    <col min="4106" max="4106" width="9.6640625" style="14" customWidth="1"/>
    <col min="4107" max="4107" width="7.109375" style="14" customWidth="1"/>
    <col min="4108" max="4108" width="7.33203125" style="14" customWidth="1"/>
    <col min="4109" max="4109" width="8.88671875" style="14"/>
    <col min="4110" max="4110" width="2.109375" style="14" customWidth="1"/>
    <col min="4111" max="4112" width="8.88671875" style="14"/>
    <col min="4113" max="4113" width="10.44140625" style="14" customWidth="1"/>
    <col min="4114" max="4114" width="2.5546875" style="14" customWidth="1"/>
    <col min="4115" max="4116" width="8.88671875" style="14"/>
    <col min="4117" max="4117" width="2.44140625" style="14" customWidth="1"/>
    <col min="4118" max="4118" width="12.33203125" style="14" customWidth="1"/>
    <col min="4119" max="4119" width="2.44140625" style="14" customWidth="1"/>
    <col min="4120" max="4121" width="8.88671875" style="14"/>
    <col min="4122" max="4122" width="1.88671875" style="14" customWidth="1"/>
    <col min="4123" max="4123" width="11.44140625" style="14" customWidth="1"/>
    <col min="4124" max="4352" width="8.88671875" style="14"/>
    <col min="4353" max="4353" width="10.33203125" style="14" customWidth="1"/>
    <col min="4354" max="4354" width="8.88671875" style="14"/>
    <col min="4355" max="4355" width="5" style="14" customWidth="1"/>
    <col min="4356" max="4356" width="11.5546875" style="14" customWidth="1"/>
    <col min="4357" max="4357" width="13.109375" style="14" customWidth="1"/>
    <col min="4358" max="4358" width="13" style="14" customWidth="1"/>
    <col min="4359" max="4359" width="9.5546875" style="14" customWidth="1"/>
    <col min="4360" max="4360" width="7.109375" style="14" customWidth="1"/>
    <col min="4361" max="4361" width="9.5546875" style="14" customWidth="1"/>
    <col min="4362" max="4362" width="9.6640625" style="14" customWidth="1"/>
    <col min="4363" max="4363" width="7.109375" style="14" customWidth="1"/>
    <col min="4364" max="4364" width="7.33203125" style="14" customWidth="1"/>
    <col min="4365" max="4365" width="8.88671875" style="14"/>
    <col min="4366" max="4366" width="2.109375" style="14" customWidth="1"/>
    <col min="4367" max="4368" width="8.88671875" style="14"/>
    <col min="4369" max="4369" width="10.44140625" style="14" customWidth="1"/>
    <col min="4370" max="4370" width="2.5546875" style="14" customWidth="1"/>
    <col min="4371" max="4372" width="8.88671875" style="14"/>
    <col min="4373" max="4373" width="2.44140625" style="14" customWidth="1"/>
    <col min="4374" max="4374" width="12.33203125" style="14" customWidth="1"/>
    <col min="4375" max="4375" width="2.44140625" style="14" customWidth="1"/>
    <col min="4376" max="4377" width="8.88671875" style="14"/>
    <col min="4378" max="4378" width="1.88671875" style="14" customWidth="1"/>
    <col min="4379" max="4379" width="11.44140625" style="14" customWidth="1"/>
    <col min="4380" max="4608" width="8.88671875" style="14"/>
    <col min="4609" max="4609" width="10.33203125" style="14" customWidth="1"/>
    <col min="4610" max="4610" width="8.88671875" style="14"/>
    <col min="4611" max="4611" width="5" style="14" customWidth="1"/>
    <col min="4612" max="4612" width="11.5546875" style="14" customWidth="1"/>
    <col min="4613" max="4613" width="13.109375" style="14" customWidth="1"/>
    <col min="4614" max="4614" width="13" style="14" customWidth="1"/>
    <col min="4615" max="4615" width="9.5546875" style="14" customWidth="1"/>
    <col min="4616" max="4616" width="7.109375" style="14" customWidth="1"/>
    <col min="4617" max="4617" width="9.5546875" style="14" customWidth="1"/>
    <col min="4618" max="4618" width="9.6640625" style="14" customWidth="1"/>
    <col min="4619" max="4619" width="7.109375" style="14" customWidth="1"/>
    <col min="4620" max="4620" width="7.33203125" style="14" customWidth="1"/>
    <col min="4621" max="4621" width="8.88671875" style="14"/>
    <col min="4622" max="4622" width="2.109375" style="14" customWidth="1"/>
    <col min="4623" max="4624" width="8.88671875" style="14"/>
    <col min="4625" max="4625" width="10.44140625" style="14" customWidth="1"/>
    <col min="4626" max="4626" width="2.5546875" style="14" customWidth="1"/>
    <col min="4627" max="4628" width="8.88671875" style="14"/>
    <col min="4629" max="4629" width="2.44140625" style="14" customWidth="1"/>
    <col min="4630" max="4630" width="12.33203125" style="14" customWidth="1"/>
    <col min="4631" max="4631" width="2.44140625" style="14" customWidth="1"/>
    <col min="4632" max="4633" width="8.88671875" style="14"/>
    <col min="4634" max="4634" width="1.88671875" style="14" customWidth="1"/>
    <col min="4635" max="4635" width="11.44140625" style="14" customWidth="1"/>
    <col min="4636" max="4864" width="8.88671875" style="14"/>
    <col min="4865" max="4865" width="10.33203125" style="14" customWidth="1"/>
    <col min="4866" max="4866" width="8.88671875" style="14"/>
    <col min="4867" max="4867" width="5" style="14" customWidth="1"/>
    <col min="4868" max="4868" width="11.5546875" style="14" customWidth="1"/>
    <col min="4869" max="4869" width="13.109375" style="14" customWidth="1"/>
    <col min="4870" max="4870" width="13" style="14" customWidth="1"/>
    <col min="4871" max="4871" width="9.5546875" style="14" customWidth="1"/>
    <col min="4872" max="4872" width="7.109375" style="14" customWidth="1"/>
    <col min="4873" max="4873" width="9.5546875" style="14" customWidth="1"/>
    <col min="4874" max="4874" width="9.6640625" style="14" customWidth="1"/>
    <col min="4875" max="4875" width="7.109375" style="14" customWidth="1"/>
    <col min="4876" max="4876" width="7.33203125" style="14" customWidth="1"/>
    <col min="4877" max="4877" width="8.88671875" style="14"/>
    <col min="4878" max="4878" width="2.109375" style="14" customWidth="1"/>
    <col min="4879" max="4880" width="8.88671875" style="14"/>
    <col min="4881" max="4881" width="10.44140625" style="14" customWidth="1"/>
    <col min="4882" max="4882" width="2.5546875" style="14" customWidth="1"/>
    <col min="4883" max="4884" width="8.88671875" style="14"/>
    <col min="4885" max="4885" width="2.44140625" style="14" customWidth="1"/>
    <col min="4886" max="4886" width="12.33203125" style="14" customWidth="1"/>
    <col min="4887" max="4887" width="2.44140625" style="14" customWidth="1"/>
    <col min="4888" max="4889" width="8.88671875" style="14"/>
    <col min="4890" max="4890" width="1.88671875" style="14" customWidth="1"/>
    <col min="4891" max="4891" width="11.44140625" style="14" customWidth="1"/>
    <col min="4892" max="5120" width="8.88671875" style="14"/>
    <col min="5121" max="5121" width="10.33203125" style="14" customWidth="1"/>
    <col min="5122" max="5122" width="8.88671875" style="14"/>
    <col min="5123" max="5123" width="5" style="14" customWidth="1"/>
    <col min="5124" max="5124" width="11.5546875" style="14" customWidth="1"/>
    <col min="5125" max="5125" width="13.109375" style="14" customWidth="1"/>
    <col min="5126" max="5126" width="13" style="14" customWidth="1"/>
    <col min="5127" max="5127" width="9.5546875" style="14" customWidth="1"/>
    <col min="5128" max="5128" width="7.109375" style="14" customWidth="1"/>
    <col min="5129" max="5129" width="9.5546875" style="14" customWidth="1"/>
    <col min="5130" max="5130" width="9.6640625" style="14" customWidth="1"/>
    <col min="5131" max="5131" width="7.109375" style="14" customWidth="1"/>
    <col min="5132" max="5132" width="7.33203125" style="14" customWidth="1"/>
    <col min="5133" max="5133" width="8.88671875" style="14"/>
    <col min="5134" max="5134" width="2.109375" style="14" customWidth="1"/>
    <col min="5135" max="5136" width="8.88671875" style="14"/>
    <col min="5137" max="5137" width="10.44140625" style="14" customWidth="1"/>
    <col min="5138" max="5138" width="2.5546875" style="14" customWidth="1"/>
    <col min="5139" max="5140" width="8.88671875" style="14"/>
    <col min="5141" max="5141" width="2.44140625" style="14" customWidth="1"/>
    <col min="5142" max="5142" width="12.33203125" style="14" customWidth="1"/>
    <col min="5143" max="5143" width="2.44140625" style="14" customWidth="1"/>
    <col min="5144" max="5145" width="8.88671875" style="14"/>
    <col min="5146" max="5146" width="1.88671875" style="14" customWidth="1"/>
    <col min="5147" max="5147" width="11.44140625" style="14" customWidth="1"/>
    <col min="5148" max="5376" width="8.88671875" style="14"/>
    <col min="5377" max="5377" width="10.33203125" style="14" customWidth="1"/>
    <col min="5378" max="5378" width="8.88671875" style="14"/>
    <col min="5379" max="5379" width="5" style="14" customWidth="1"/>
    <col min="5380" max="5380" width="11.5546875" style="14" customWidth="1"/>
    <col min="5381" max="5381" width="13.109375" style="14" customWidth="1"/>
    <col min="5382" max="5382" width="13" style="14" customWidth="1"/>
    <col min="5383" max="5383" width="9.5546875" style="14" customWidth="1"/>
    <col min="5384" max="5384" width="7.109375" style="14" customWidth="1"/>
    <col min="5385" max="5385" width="9.5546875" style="14" customWidth="1"/>
    <col min="5386" max="5386" width="9.6640625" style="14" customWidth="1"/>
    <col min="5387" max="5387" width="7.109375" style="14" customWidth="1"/>
    <col min="5388" max="5388" width="7.33203125" style="14" customWidth="1"/>
    <col min="5389" max="5389" width="8.88671875" style="14"/>
    <col min="5390" max="5390" width="2.109375" style="14" customWidth="1"/>
    <col min="5391" max="5392" width="8.88671875" style="14"/>
    <col min="5393" max="5393" width="10.44140625" style="14" customWidth="1"/>
    <col min="5394" max="5394" width="2.5546875" style="14" customWidth="1"/>
    <col min="5395" max="5396" width="8.88671875" style="14"/>
    <col min="5397" max="5397" width="2.44140625" style="14" customWidth="1"/>
    <col min="5398" max="5398" width="12.33203125" style="14" customWidth="1"/>
    <col min="5399" max="5399" width="2.44140625" style="14" customWidth="1"/>
    <col min="5400" max="5401" width="8.88671875" style="14"/>
    <col min="5402" max="5402" width="1.88671875" style="14" customWidth="1"/>
    <col min="5403" max="5403" width="11.44140625" style="14" customWidth="1"/>
    <col min="5404" max="5632" width="8.88671875" style="14"/>
    <col min="5633" max="5633" width="10.33203125" style="14" customWidth="1"/>
    <col min="5634" max="5634" width="8.88671875" style="14"/>
    <col min="5635" max="5635" width="5" style="14" customWidth="1"/>
    <col min="5636" max="5636" width="11.5546875" style="14" customWidth="1"/>
    <col min="5637" max="5637" width="13.109375" style="14" customWidth="1"/>
    <col min="5638" max="5638" width="13" style="14" customWidth="1"/>
    <col min="5639" max="5639" width="9.5546875" style="14" customWidth="1"/>
    <col min="5640" max="5640" width="7.109375" style="14" customWidth="1"/>
    <col min="5641" max="5641" width="9.5546875" style="14" customWidth="1"/>
    <col min="5642" max="5642" width="9.6640625" style="14" customWidth="1"/>
    <col min="5643" max="5643" width="7.109375" style="14" customWidth="1"/>
    <col min="5644" max="5644" width="7.33203125" style="14" customWidth="1"/>
    <col min="5645" max="5645" width="8.88671875" style="14"/>
    <col min="5646" max="5646" width="2.109375" style="14" customWidth="1"/>
    <col min="5647" max="5648" width="8.88671875" style="14"/>
    <col min="5649" max="5649" width="10.44140625" style="14" customWidth="1"/>
    <col min="5650" max="5650" width="2.5546875" style="14" customWidth="1"/>
    <col min="5651" max="5652" width="8.88671875" style="14"/>
    <col min="5653" max="5653" width="2.44140625" style="14" customWidth="1"/>
    <col min="5654" max="5654" width="12.33203125" style="14" customWidth="1"/>
    <col min="5655" max="5655" width="2.44140625" style="14" customWidth="1"/>
    <col min="5656" max="5657" width="8.88671875" style="14"/>
    <col min="5658" max="5658" width="1.88671875" style="14" customWidth="1"/>
    <col min="5659" max="5659" width="11.44140625" style="14" customWidth="1"/>
    <col min="5660" max="5888" width="8.88671875" style="14"/>
    <col min="5889" max="5889" width="10.33203125" style="14" customWidth="1"/>
    <col min="5890" max="5890" width="8.88671875" style="14"/>
    <col min="5891" max="5891" width="5" style="14" customWidth="1"/>
    <col min="5892" max="5892" width="11.5546875" style="14" customWidth="1"/>
    <col min="5893" max="5893" width="13.109375" style="14" customWidth="1"/>
    <col min="5894" max="5894" width="13" style="14" customWidth="1"/>
    <col min="5895" max="5895" width="9.5546875" style="14" customWidth="1"/>
    <col min="5896" max="5896" width="7.109375" style="14" customWidth="1"/>
    <col min="5897" max="5897" width="9.5546875" style="14" customWidth="1"/>
    <col min="5898" max="5898" width="9.6640625" style="14" customWidth="1"/>
    <col min="5899" max="5899" width="7.109375" style="14" customWidth="1"/>
    <col min="5900" max="5900" width="7.33203125" style="14" customWidth="1"/>
    <col min="5901" max="5901" width="8.88671875" style="14"/>
    <col min="5902" max="5902" width="2.109375" style="14" customWidth="1"/>
    <col min="5903" max="5904" width="8.88671875" style="14"/>
    <col min="5905" max="5905" width="10.44140625" style="14" customWidth="1"/>
    <col min="5906" max="5906" width="2.5546875" style="14" customWidth="1"/>
    <col min="5907" max="5908" width="8.88671875" style="14"/>
    <col min="5909" max="5909" width="2.44140625" style="14" customWidth="1"/>
    <col min="5910" max="5910" width="12.33203125" style="14" customWidth="1"/>
    <col min="5911" max="5911" width="2.44140625" style="14" customWidth="1"/>
    <col min="5912" max="5913" width="8.88671875" style="14"/>
    <col min="5914" max="5914" width="1.88671875" style="14" customWidth="1"/>
    <col min="5915" max="5915" width="11.44140625" style="14" customWidth="1"/>
    <col min="5916" max="6144" width="8.88671875" style="14"/>
    <col min="6145" max="6145" width="10.33203125" style="14" customWidth="1"/>
    <col min="6146" max="6146" width="8.88671875" style="14"/>
    <col min="6147" max="6147" width="5" style="14" customWidth="1"/>
    <col min="6148" max="6148" width="11.5546875" style="14" customWidth="1"/>
    <col min="6149" max="6149" width="13.109375" style="14" customWidth="1"/>
    <col min="6150" max="6150" width="13" style="14" customWidth="1"/>
    <col min="6151" max="6151" width="9.5546875" style="14" customWidth="1"/>
    <col min="6152" max="6152" width="7.109375" style="14" customWidth="1"/>
    <col min="6153" max="6153" width="9.5546875" style="14" customWidth="1"/>
    <col min="6154" max="6154" width="9.6640625" style="14" customWidth="1"/>
    <col min="6155" max="6155" width="7.109375" style="14" customWidth="1"/>
    <col min="6156" max="6156" width="7.33203125" style="14" customWidth="1"/>
    <col min="6157" max="6157" width="8.88671875" style="14"/>
    <col min="6158" max="6158" width="2.109375" style="14" customWidth="1"/>
    <col min="6159" max="6160" width="8.88671875" style="14"/>
    <col min="6161" max="6161" width="10.44140625" style="14" customWidth="1"/>
    <col min="6162" max="6162" width="2.5546875" style="14" customWidth="1"/>
    <col min="6163" max="6164" width="8.88671875" style="14"/>
    <col min="6165" max="6165" width="2.44140625" style="14" customWidth="1"/>
    <col min="6166" max="6166" width="12.33203125" style="14" customWidth="1"/>
    <col min="6167" max="6167" width="2.44140625" style="14" customWidth="1"/>
    <col min="6168" max="6169" width="8.88671875" style="14"/>
    <col min="6170" max="6170" width="1.88671875" style="14" customWidth="1"/>
    <col min="6171" max="6171" width="11.44140625" style="14" customWidth="1"/>
    <col min="6172" max="6400" width="8.88671875" style="14"/>
    <col min="6401" max="6401" width="10.33203125" style="14" customWidth="1"/>
    <col min="6402" max="6402" width="8.88671875" style="14"/>
    <col min="6403" max="6403" width="5" style="14" customWidth="1"/>
    <col min="6404" max="6404" width="11.5546875" style="14" customWidth="1"/>
    <col min="6405" max="6405" width="13.109375" style="14" customWidth="1"/>
    <col min="6406" max="6406" width="13" style="14" customWidth="1"/>
    <col min="6407" max="6407" width="9.5546875" style="14" customWidth="1"/>
    <col min="6408" max="6408" width="7.109375" style="14" customWidth="1"/>
    <col min="6409" max="6409" width="9.5546875" style="14" customWidth="1"/>
    <col min="6410" max="6410" width="9.6640625" style="14" customWidth="1"/>
    <col min="6411" max="6411" width="7.109375" style="14" customWidth="1"/>
    <col min="6412" max="6412" width="7.33203125" style="14" customWidth="1"/>
    <col min="6413" max="6413" width="8.88671875" style="14"/>
    <col min="6414" max="6414" width="2.109375" style="14" customWidth="1"/>
    <col min="6415" max="6416" width="8.88671875" style="14"/>
    <col min="6417" max="6417" width="10.44140625" style="14" customWidth="1"/>
    <col min="6418" max="6418" width="2.5546875" style="14" customWidth="1"/>
    <col min="6419" max="6420" width="8.88671875" style="14"/>
    <col min="6421" max="6421" width="2.44140625" style="14" customWidth="1"/>
    <col min="6422" max="6422" width="12.33203125" style="14" customWidth="1"/>
    <col min="6423" max="6423" width="2.44140625" style="14" customWidth="1"/>
    <col min="6424" max="6425" width="8.88671875" style="14"/>
    <col min="6426" max="6426" width="1.88671875" style="14" customWidth="1"/>
    <col min="6427" max="6427" width="11.44140625" style="14" customWidth="1"/>
    <col min="6428" max="6656" width="8.88671875" style="14"/>
    <col min="6657" max="6657" width="10.33203125" style="14" customWidth="1"/>
    <col min="6658" max="6658" width="8.88671875" style="14"/>
    <col min="6659" max="6659" width="5" style="14" customWidth="1"/>
    <col min="6660" max="6660" width="11.5546875" style="14" customWidth="1"/>
    <col min="6661" max="6661" width="13.109375" style="14" customWidth="1"/>
    <col min="6662" max="6662" width="13" style="14" customWidth="1"/>
    <col min="6663" max="6663" width="9.5546875" style="14" customWidth="1"/>
    <col min="6664" max="6664" width="7.109375" style="14" customWidth="1"/>
    <col min="6665" max="6665" width="9.5546875" style="14" customWidth="1"/>
    <col min="6666" max="6666" width="9.6640625" style="14" customWidth="1"/>
    <col min="6667" max="6667" width="7.109375" style="14" customWidth="1"/>
    <col min="6668" max="6668" width="7.33203125" style="14" customWidth="1"/>
    <col min="6669" max="6669" width="8.88671875" style="14"/>
    <col min="6670" max="6670" width="2.109375" style="14" customWidth="1"/>
    <col min="6671" max="6672" width="8.88671875" style="14"/>
    <col min="6673" max="6673" width="10.44140625" style="14" customWidth="1"/>
    <col min="6674" max="6674" width="2.5546875" style="14" customWidth="1"/>
    <col min="6675" max="6676" width="8.88671875" style="14"/>
    <col min="6677" max="6677" width="2.44140625" style="14" customWidth="1"/>
    <col min="6678" max="6678" width="12.33203125" style="14" customWidth="1"/>
    <col min="6679" max="6679" width="2.44140625" style="14" customWidth="1"/>
    <col min="6680" max="6681" width="8.88671875" style="14"/>
    <col min="6682" max="6682" width="1.88671875" style="14" customWidth="1"/>
    <col min="6683" max="6683" width="11.44140625" style="14" customWidth="1"/>
    <col min="6684" max="6912" width="8.88671875" style="14"/>
    <col min="6913" max="6913" width="10.33203125" style="14" customWidth="1"/>
    <col min="6914" max="6914" width="8.88671875" style="14"/>
    <col min="6915" max="6915" width="5" style="14" customWidth="1"/>
    <col min="6916" max="6916" width="11.5546875" style="14" customWidth="1"/>
    <col min="6917" max="6917" width="13.109375" style="14" customWidth="1"/>
    <col min="6918" max="6918" width="13" style="14" customWidth="1"/>
    <col min="6919" max="6919" width="9.5546875" style="14" customWidth="1"/>
    <col min="6920" max="6920" width="7.109375" style="14" customWidth="1"/>
    <col min="6921" max="6921" width="9.5546875" style="14" customWidth="1"/>
    <col min="6922" max="6922" width="9.6640625" style="14" customWidth="1"/>
    <col min="6923" max="6923" width="7.109375" style="14" customWidth="1"/>
    <col min="6924" max="6924" width="7.33203125" style="14" customWidth="1"/>
    <col min="6925" max="6925" width="8.88671875" style="14"/>
    <col min="6926" max="6926" width="2.109375" style="14" customWidth="1"/>
    <col min="6927" max="6928" width="8.88671875" style="14"/>
    <col min="6929" max="6929" width="10.44140625" style="14" customWidth="1"/>
    <col min="6930" max="6930" width="2.5546875" style="14" customWidth="1"/>
    <col min="6931" max="6932" width="8.88671875" style="14"/>
    <col min="6933" max="6933" width="2.44140625" style="14" customWidth="1"/>
    <col min="6934" max="6934" width="12.33203125" style="14" customWidth="1"/>
    <col min="6935" max="6935" width="2.44140625" style="14" customWidth="1"/>
    <col min="6936" max="6937" width="8.88671875" style="14"/>
    <col min="6938" max="6938" width="1.88671875" style="14" customWidth="1"/>
    <col min="6939" max="6939" width="11.44140625" style="14" customWidth="1"/>
    <col min="6940" max="7168" width="8.88671875" style="14"/>
    <col min="7169" max="7169" width="10.33203125" style="14" customWidth="1"/>
    <col min="7170" max="7170" width="8.88671875" style="14"/>
    <col min="7171" max="7171" width="5" style="14" customWidth="1"/>
    <col min="7172" max="7172" width="11.5546875" style="14" customWidth="1"/>
    <col min="7173" max="7173" width="13.109375" style="14" customWidth="1"/>
    <col min="7174" max="7174" width="13" style="14" customWidth="1"/>
    <col min="7175" max="7175" width="9.5546875" style="14" customWidth="1"/>
    <col min="7176" max="7176" width="7.109375" style="14" customWidth="1"/>
    <col min="7177" max="7177" width="9.5546875" style="14" customWidth="1"/>
    <col min="7178" max="7178" width="9.6640625" style="14" customWidth="1"/>
    <col min="7179" max="7179" width="7.109375" style="14" customWidth="1"/>
    <col min="7180" max="7180" width="7.33203125" style="14" customWidth="1"/>
    <col min="7181" max="7181" width="8.88671875" style="14"/>
    <col min="7182" max="7182" width="2.109375" style="14" customWidth="1"/>
    <col min="7183" max="7184" width="8.88671875" style="14"/>
    <col min="7185" max="7185" width="10.44140625" style="14" customWidth="1"/>
    <col min="7186" max="7186" width="2.5546875" style="14" customWidth="1"/>
    <col min="7187" max="7188" width="8.88671875" style="14"/>
    <col min="7189" max="7189" width="2.44140625" style="14" customWidth="1"/>
    <col min="7190" max="7190" width="12.33203125" style="14" customWidth="1"/>
    <col min="7191" max="7191" width="2.44140625" style="14" customWidth="1"/>
    <col min="7192" max="7193" width="8.88671875" style="14"/>
    <col min="7194" max="7194" width="1.88671875" style="14" customWidth="1"/>
    <col min="7195" max="7195" width="11.44140625" style="14" customWidth="1"/>
    <col min="7196" max="7424" width="8.88671875" style="14"/>
    <col min="7425" max="7425" width="10.33203125" style="14" customWidth="1"/>
    <col min="7426" max="7426" width="8.88671875" style="14"/>
    <col min="7427" max="7427" width="5" style="14" customWidth="1"/>
    <col min="7428" max="7428" width="11.5546875" style="14" customWidth="1"/>
    <col min="7429" max="7429" width="13.109375" style="14" customWidth="1"/>
    <col min="7430" max="7430" width="13" style="14" customWidth="1"/>
    <col min="7431" max="7431" width="9.5546875" style="14" customWidth="1"/>
    <col min="7432" max="7432" width="7.109375" style="14" customWidth="1"/>
    <col min="7433" max="7433" width="9.5546875" style="14" customWidth="1"/>
    <col min="7434" max="7434" width="9.6640625" style="14" customWidth="1"/>
    <col min="7435" max="7435" width="7.109375" style="14" customWidth="1"/>
    <col min="7436" max="7436" width="7.33203125" style="14" customWidth="1"/>
    <col min="7437" max="7437" width="8.88671875" style="14"/>
    <col min="7438" max="7438" width="2.109375" style="14" customWidth="1"/>
    <col min="7439" max="7440" width="8.88671875" style="14"/>
    <col min="7441" max="7441" width="10.44140625" style="14" customWidth="1"/>
    <col min="7442" max="7442" width="2.5546875" style="14" customWidth="1"/>
    <col min="7443" max="7444" width="8.88671875" style="14"/>
    <col min="7445" max="7445" width="2.44140625" style="14" customWidth="1"/>
    <col min="7446" max="7446" width="12.33203125" style="14" customWidth="1"/>
    <col min="7447" max="7447" width="2.44140625" style="14" customWidth="1"/>
    <col min="7448" max="7449" width="8.88671875" style="14"/>
    <col min="7450" max="7450" width="1.88671875" style="14" customWidth="1"/>
    <col min="7451" max="7451" width="11.44140625" style="14" customWidth="1"/>
    <col min="7452" max="7680" width="8.88671875" style="14"/>
    <col min="7681" max="7681" width="10.33203125" style="14" customWidth="1"/>
    <col min="7682" max="7682" width="8.88671875" style="14"/>
    <col min="7683" max="7683" width="5" style="14" customWidth="1"/>
    <col min="7684" max="7684" width="11.5546875" style="14" customWidth="1"/>
    <col min="7685" max="7685" width="13.109375" style="14" customWidth="1"/>
    <col min="7686" max="7686" width="13" style="14" customWidth="1"/>
    <col min="7687" max="7687" width="9.5546875" style="14" customWidth="1"/>
    <col min="7688" max="7688" width="7.109375" style="14" customWidth="1"/>
    <col min="7689" max="7689" width="9.5546875" style="14" customWidth="1"/>
    <col min="7690" max="7690" width="9.6640625" style="14" customWidth="1"/>
    <col min="7691" max="7691" width="7.109375" style="14" customWidth="1"/>
    <col min="7692" max="7692" width="7.33203125" style="14" customWidth="1"/>
    <col min="7693" max="7693" width="8.88671875" style="14"/>
    <col min="7694" max="7694" width="2.109375" style="14" customWidth="1"/>
    <col min="7695" max="7696" width="8.88671875" style="14"/>
    <col min="7697" max="7697" width="10.44140625" style="14" customWidth="1"/>
    <col min="7698" max="7698" width="2.5546875" style="14" customWidth="1"/>
    <col min="7699" max="7700" width="8.88671875" style="14"/>
    <col min="7701" max="7701" width="2.44140625" style="14" customWidth="1"/>
    <col min="7702" max="7702" width="12.33203125" style="14" customWidth="1"/>
    <col min="7703" max="7703" width="2.44140625" style="14" customWidth="1"/>
    <col min="7704" max="7705" width="8.88671875" style="14"/>
    <col min="7706" max="7706" width="1.88671875" style="14" customWidth="1"/>
    <col min="7707" max="7707" width="11.44140625" style="14" customWidth="1"/>
    <col min="7708" max="7936" width="8.88671875" style="14"/>
    <col min="7937" max="7937" width="10.33203125" style="14" customWidth="1"/>
    <col min="7938" max="7938" width="8.88671875" style="14"/>
    <col min="7939" max="7939" width="5" style="14" customWidth="1"/>
    <col min="7940" max="7940" width="11.5546875" style="14" customWidth="1"/>
    <col min="7941" max="7941" width="13.109375" style="14" customWidth="1"/>
    <col min="7942" max="7942" width="13" style="14" customWidth="1"/>
    <col min="7943" max="7943" width="9.5546875" style="14" customWidth="1"/>
    <col min="7944" max="7944" width="7.109375" style="14" customWidth="1"/>
    <col min="7945" max="7945" width="9.5546875" style="14" customWidth="1"/>
    <col min="7946" max="7946" width="9.6640625" style="14" customWidth="1"/>
    <col min="7947" max="7947" width="7.109375" style="14" customWidth="1"/>
    <col min="7948" max="7948" width="7.33203125" style="14" customWidth="1"/>
    <col min="7949" max="7949" width="8.88671875" style="14"/>
    <col min="7950" max="7950" width="2.109375" style="14" customWidth="1"/>
    <col min="7951" max="7952" width="8.88671875" style="14"/>
    <col min="7953" max="7953" width="10.44140625" style="14" customWidth="1"/>
    <col min="7954" max="7954" width="2.5546875" style="14" customWidth="1"/>
    <col min="7955" max="7956" width="8.88671875" style="14"/>
    <col min="7957" max="7957" width="2.44140625" style="14" customWidth="1"/>
    <col min="7958" max="7958" width="12.33203125" style="14" customWidth="1"/>
    <col min="7959" max="7959" width="2.44140625" style="14" customWidth="1"/>
    <col min="7960" max="7961" width="8.88671875" style="14"/>
    <col min="7962" max="7962" width="1.88671875" style="14" customWidth="1"/>
    <col min="7963" max="7963" width="11.44140625" style="14" customWidth="1"/>
    <col min="7964" max="8192" width="8.88671875" style="14"/>
    <col min="8193" max="8193" width="10.33203125" style="14" customWidth="1"/>
    <col min="8194" max="8194" width="8.88671875" style="14"/>
    <col min="8195" max="8195" width="5" style="14" customWidth="1"/>
    <col min="8196" max="8196" width="11.5546875" style="14" customWidth="1"/>
    <col min="8197" max="8197" width="13.109375" style="14" customWidth="1"/>
    <col min="8198" max="8198" width="13" style="14" customWidth="1"/>
    <col min="8199" max="8199" width="9.5546875" style="14" customWidth="1"/>
    <col min="8200" max="8200" width="7.109375" style="14" customWidth="1"/>
    <col min="8201" max="8201" width="9.5546875" style="14" customWidth="1"/>
    <col min="8202" max="8202" width="9.6640625" style="14" customWidth="1"/>
    <col min="8203" max="8203" width="7.109375" style="14" customWidth="1"/>
    <col min="8204" max="8204" width="7.33203125" style="14" customWidth="1"/>
    <col min="8205" max="8205" width="8.88671875" style="14"/>
    <col min="8206" max="8206" width="2.109375" style="14" customWidth="1"/>
    <col min="8207" max="8208" width="8.88671875" style="14"/>
    <col min="8209" max="8209" width="10.44140625" style="14" customWidth="1"/>
    <col min="8210" max="8210" width="2.5546875" style="14" customWidth="1"/>
    <col min="8211" max="8212" width="8.88671875" style="14"/>
    <col min="8213" max="8213" width="2.44140625" style="14" customWidth="1"/>
    <col min="8214" max="8214" width="12.33203125" style="14" customWidth="1"/>
    <col min="8215" max="8215" width="2.44140625" style="14" customWidth="1"/>
    <col min="8216" max="8217" width="8.88671875" style="14"/>
    <col min="8218" max="8218" width="1.88671875" style="14" customWidth="1"/>
    <col min="8219" max="8219" width="11.44140625" style="14" customWidth="1"/>
    <col min="8220" max="8448" width="8.88671875" style="14"/>
    <col min="8449" max="8449" width="10.33203125" style="14" customWidth="1"/>
    <col min="8450" max="8450" width="8.88671875" style="14"/>
    <col min="8451" max="8451" width="5" style="14" customWidth="1"/>
    <col min="8452" max="8452" width="11.5546875" style="14" customWidth="1"/>
    <col min="8453" max="8453" width="13.109375" style="14" customWidth="1"/>
    <col min="8454" max="8454" width="13" style="14" customWidth="1"/>
    <col min="8455" max="8455" width="9.5546875" style="14" customWidth="1"/>
    <col min="8456" max="8456" width="7.109375" style="14" customWidth="1"/>
    <col min="8457" max="8457" width="9.5546875" style="14" customWidth="1"/>
    <col min="8458" max="8458" width="9.6640625" style="14" customWidth="1"/>
    <col min="8459" max="8459" width="7.109375" style="14" customWidth="1"/>
    <col min="8460" max="8460" width="7.33203125" style="14" customWidth="1"/>
    <col min="8461" max="8461" width="8.88671875" style="14"/>
    <col min="8462" max="8462" width="2.109375" style="14" customWidth="1"/>
    <col min="8463" max="8464" width="8.88671875" style="14"/>
    <col min="8465" max="8465" width="10.44140625" style="14" customWidth="1"/>
    <col min="8466" max="8466" width="2.5546875" style="14" customWidth="1"/>
    <col min="8467" max="8468" width="8.88671875" style="14"/>
    <col min="8469" max="8469" width="2.44140625" style="14" customWidth="1"/>
    <col min="8470" max="8470" width="12.33203125" style="14" customWidth="1"/>
    <col min="8471" max="8471" width="2.44140625" style="14" customWidth="1"/>
    <col min="8472" max="8473" width="8.88671875" style="14"/>
    <col min="8474" max="8474" width="1.88671875" style="14" customWidth="1"/>
    <col min="8475" max="8475" width="11.44140625" style="14" customWidth="1"/>
    <col min="8476" max="8704" width="8.88671875" style="14"/>
    <col min="8705" max="8705" width="10.33203125" style="14" customWidth="1"/>
    <col min="8706" max="8706" width="8.88671875" style="14"/>
    <col min="8707" max="8707" width="5" style="14" customWidth="1"/>
    <col min="8708" max="8708" width="11.5546875" style="14" customWidth="1"/>
    <col min="8709" max="8709" width="13.109375" style="14" customWidth="1"/>
    <col min="8710" max="8710" width="13" style="14" customWidth="1"/>
    <col min="8711" max="8711" width="9.5546875" style="14" customWidth="1"/>
    <col min="8712" max="8712" width="7.109375" style="14" customWidth="1"/>
    <col min="8713" max="8713" width="9.5546875" style="14" customWidth="1"/>
    <col min="8714" max="8714" width="9.6640625" style="14" customWidth="1"/>
    <col min="8715" max="8715" width="7.109375" style="14" customWidth="1"/>
    <col min="8716" max="8716" width="7.33203125" style="14" customWidth="1"/>
    <col min="8717" max="8717" width="8.88671875" style="14"/>
    <col min="8718" max="8718" width="2.109375" style="14" customWidth="1"/>
    <col min="8719" max="8720" width="8.88671875" style="14"/>
    <col min="8721" max="8721" width="10.44140625" style="14" customWidth="1"/>
    <col min="8722" max="8722" width="2.5546875" style="14" customWidth="1"/>
    <col min="8723" max="8724" width="8.88671875" style="14"/>
    <col min="8725" max="8725" width="2.44140625" style="14" customWidth="1"/>
    <col min="8726" max="8726" width="12.33203125" style="14" customWidth="1"/>
    <col min="8727" max="8727" width="2.44140625" style="14" customWidth="1"/>
    <col min="8728" max="8729" width="8.88671875" style="14"/>
    <col min="8730" max="8730" width="1.88671875" style="14" customWidth="1"/>
    <col min="8731" max="8731" width="11.44140625" style="14" customWidth="1"/>
    <col min="8732" max="8960" width="8.88671875" style="14"/>
    <col min="8961" max="8961" width="10.33203125" style="14" customWidth="1"/>
    <col min="8962" max="8962" width="8.88671875" style="14"/>
    <col min="8963" max="8963" width="5" style="14" customWidth="1"/>
    <col min="8964" max="8964" width="11.5546875" style="14" customWidth="1"/>
    <col min="8965" max="8965" width="13.109375" style="14" customWidth="1"/>
    <col min="8966" max="8966" width="13" style="14" customWidth="1"/>
    <col min="8967" max="8967" width="9.5546875" style="14" customWidth="1"/>
    <col min="8968" max="8968" width="7.109375" style="14" customWidth="1"/>
    <col min="8969" max="8969" width="9.5546875" style="14" customWidth="1"/>
    <col min="8970" max="8970" width="9.6640625" style="14" customWidth="1"/>
    <col min="8971" max="8971" width="7.109375" style="14" customWidth="1"/>
    <col min="8972" max="8972" width="7.33203125" style="14" customWidth="1"/>
    <col min="8973" max="8973" width="8.88671875" style="14"/>
    <col min="8974" max="8974" width="2.109375" style="14" customWidth="1"/>
    <col min="8975" max="8976" width="8.88671875" style="14"/>
    <col min="8977" max="8977" width="10.44140625" style="14" customWidth="1"/>
    <col min="8978" max="8978" width="2.5546875" style="14" customWidth="1"/>
    <col min="8979" max="8980" width="8.88671875" style="14"/>
    <col min="8981" max="8981" width="2.44140625" style="14" customWidth="1"/>
    <col min="8982" max="8982" width="12.33203125" style="14" customWidth="1"/>
    <col min="8983" max="8983" width="2.44140625" style="14" customWidth="1"/>
    <col min="8984" max="8985" width="8.88671875" style="14"/>
    <col min="8986" max="8986" width="1.88671875" style="14" customWidth="1"/>
    <col min="8987" max="8987" width="11.44140625" style="14" customWidth="1"/>
    <col min="8988" max="9216" width="8.88671875" style="14"/>
    <col min="9217" max="9217" width="10.33203125" style="14" customWidth="1"/>
    <col min="9218" max="9218" width="8.88671875" style="14"/>
    <col min="9219" max="9219" width="5" style="14" customWidth="1"/>
    <col min="9220" max="9220" width="11.5546875" style="14" customWidth="1"/>
    <col min="9221" max="9221" width="13.109375" style="14" customWidth="1"/>
    <col min="9222" max="9222" width="13" style="14" customWidth="1"/>
    <col min="9223" max="9223" width="9.5546875" style="14" customWidth="1"/>
    <col min="9224" max="9224" width="7.109375" style="14" customWidth="1"/>
    <col min="9225" max="9225" width="9.5546875" style="14" customWidth="1"/>
    <col min="9226" max="9226" width="9.6640625" style="14" customWidth="1"/>
    <col min="9227" max="9227" width="7.109375" style="14" customWidth="1"/>
    <col min="9228" max="9228" width="7.33203125" style="14" customWidth="1"/>
    <col min="9229" max="9229" width="8.88671875" style="14"/>
    <col min="9230" max="9230" width="2.109375" style="14" customWidth="1"/>
    <col min="9231" max="9232" width="8.88671875" style="14"/>
    <col min="9233" max="9233" width="10.44140625" style="14" customWidth="1"/>
    <col min="9234" max="9234" width="2.5546875" style="14" customWidth="1"/>
    <col min="9235" max="9236" width="8.88671875" style="14"/>
    <col min="9237" max="9237" width="2.44140625" style="14" customWidth="1"/>
    <col min="9238" max="9238" width="12.33203125" style="14" customWidth="1"/>
    <col min="9239" max="9239" width="2.44140625" style="14" customWidth="1"/>
    <col min="9240" max="9241" width="8.88671875" style="14"/>
    <col min="9242" max="9242" width="1.88671875" style="14" customWidth="1"/>
    <col min="9243" max="9243" width="11.44140625" style="14" customWidth="1"/>
    <col min="9244" max="9472" width="8.88671875" style="14"/>
    <col min="9473" max="9473" width="10.33203125" style="14" customWidth="1"/>
    <col min="9474" max="9474" width="8.88671875" style="14"/>
    <col min="9475" max="9475" width="5" style="14" customWidth="1"/>
    <col min="9476" max="9476" width="11.5546875" style="14" customWidth="1"/>
    <col min="9477" max="9477" width="13.109375" style="14" customWidth="1"/>
    <col min="9478" max="9478" width="13" style="14" customWidth="1"/>
    <col min="9479" max="9479" width="9.5546875" style="14" customWidth="1"/>
    <col min="9480" max="9480" width="7.109375" style="14" customWidth="1"/>
    <col min="9481" max="9481" width="9.5546875" style="14" customWidth="1"/>
    <col min="9482" max="9482" width="9.6640625" style="14" customWidth="1"/>
    <col min="9483" max="9483" width="7.109375" style="14" customWidth="1"/>
    <col min="9484" max="9484" width="7.33203125" style="14" customWidth="1"/>
    <col min="9485" max="9485" width="8.88671875" style="14"/>
    <col min="9486" max="9486" width="2.109375" style="14" customWidth="1"/>
    <col min="9487" max="9488" width="8.88671875" style="14"/>
    <col min="9489" max="9489" width="10.44140625" style="14" customWidth="1"/>
    <col min="9490" max="9490" width="2.5546875" style="14" customWidth="1"/>
    <col min="9491" max="9492" width="8.88671875" style="14"/>
    <col min="9493" max="9493" width="2.44140625" style="14" customWidth="1"/>
    <col min="9494" max="9494" width="12.33203125" style="14" customWidth="1"/>
    <col min="9495" max="9495" width="2.44140625" style="14" customWidth="1"/>
    <col min="9496" max="9497" width="8.88671875" style="14"/>
    <col min="9498" max="9498" width="1.88671875" style="14" customWidth="1"/>
    <col min="9499" max="9499" width="11.44140625" style="14" customWidth="1"/>
    <col min="9500" max="9728" width="8.88671875" style="14"/>
    <col min="9729" max="9729" width="10.33203125" style="14" customWidth="1"/>
    <col min="9730" max="9730" width="8.88671875" style="14"/>
    <col min="9731" max="9731" width="5" style="14" customWidth="1"/>
    <col min="9732" max="9732" width="11.5546875" style="14" customWidth="1"/>
    <col min="9733" max="9733" width="13.109375" style="14" customWidth="1"/>
    <col min="9734" max="9734" width="13" style="14" customWidth="1"/>
    <col min="9735" max="9735" width="9.5546875" style="14" customWidth="1"/>
    <col min="9736" max="9736" width="7.109375" style="14" customWidth="1"/>
    <col min="9737" max="9737" width="9.5546875" style="14" customWidth="1"/>
    <col min="9738" max="9738" width="9.6640625" style="14" customWidth="1"/>
    <col min="9739" max="9739" width="7.109375" style="14" customWidth="1"/>
    <col min="9740" max="9740" width="7.33203125" style="14" customWidth="1"/>
    <col min="9741" max="9741" width="8.88671875" style="14"/>
    <col min="9742" max="9742" width="2.109375" style="14" customWidth="1"/>
    <col min="9743" max="9744" width="8.88671875" style="14"/>
    <col min="9745" max="9745" width="10.44140625" style="14" customWidth="1"/>
    <col min="9746" max="9746" width="2.5546875" style="14" customWidth="1"/>
    <col min="9747" max="9748" width="8.88671875" style="14"/>
    <col min="9749" max="9749" width="2.44140625" style="14" customWidth="1"/>
    <col min="9750" max="9750" width="12.33203125" style="14" customWidth="1"/>
    <col min="9751" max="9751" width="2.44140625" style="14" customWidth="1"/>
    <col min="9752" max="9753" width="8.88671875" style="14"/>
    <col min="9754" max="9754" width="1.88671875" style="14" customWidth="1"/>
    <col min="9755" max="9755" width="11.44140625" style="14" customWidth="1"/>
    <col min="9756" max="9984" width="8.88671875" style="14"/>
    <col min="9985" max="9985" width="10.33203125" style="14" customWidth="1"/>
    <col min="9986" max="9986" width="8.88671875" style="14"/>
    <col min="9987" max="9987" width="5" style="14" customWidth="1"/>
    <col min="9988" max="9988" width="11.5546875" style="14" customWidth="1"/>
    <col min="9989" max="9989" width="13.109375" style="14" customWidth="1"/>
    <col min="9990" max="9990" width="13" style="14" customWidth="1"/>
    <col min="9991" max="9991" width="9.5546875" style="14" customWidth="1"/>
    <col min="9992" max="9992" width="7.109375" style="14" customWidth="1"/>
    <col min="9993" max="9993" width="9.5546875" style="14" customWidth="1"/>
    <col min="9994" max="9994" width="9.6640625" style="14" customWidth="1"/>
    <col min="9995" max="9995" width="7.109375" style="14" customWidth="1"/>
    <col min="9996" max="9996" width="7.33203125" style="14" customWidth="1"/>
    <col min="9997" max="9997" width="8.88671875" style="14"/>
    <col min="9998" max="9998" width="2.109375" style="14" customWidth="1"/>
    <col min="9999" max="10000" width="8.88671875" style="14"/>
    <col min="10001" max="10001" width="10.44140625" style="14" customWidth="1"/>
    <col min="10002" max="10002" width="2.5546875" style="14" customWidth="1"/>
    <col min="10003" max="10004" width="8.88671875" style="14"/>
    <col min="10005" max="10005" width="2.44140625" style="14" customWidth="1"/>
    <col min="10006" max="10006" width="12.33203125" style="14" customWidth="1"/>
    <col min="10007" max="10007" width="2.44140625" style="14" customWidth="1"/>
    <col min="10008" max="10009" width="8.88671875" style="14"/>
    <col min="10010" max="10010" width="1.88671875" style="14" customWidth="1"/>
    <col min="10011" max="10011" width="11.44140625" style="14" customWidth="1"/>
    <col min="10012" max="10240" width="8.88671875" style="14"/>
    <col min="10241" max="10241" width="10.33203125" style="14" customWidth="1"/>
    <col min="10242" max="10242" width="8.88671875" style="14"/>
    <col min="10243" max="10243" width="5" style="14" customWidth="1"/>
    <col min="10244" max="10244" width="11.5546875" style="14" customWidth="1"/>
    <col min="10245" max="10245" width="13.109375" style="14" customWidth="1"/>
    <col min="10246" max="10246" width="13" style="14" customWidth="1"/>
    <col min="10247" max="10247" width="9.5546875" style="14" customWidth="1"/>
    <col min="10248" max="10248" width="7.109375" style="14" customWidth="1"/>
    <col min="10249" max="10249" width="9.5546875" style="14" customWidth="1"/>
    <col min="10250" max="10250" width="9.6640625" style="14" customWidth="1"/>
    <col min="10251" max="10251" width="7.109375" style="14" customWidth="1"/>
    <col min="10252" max="10252" width="7.33203125" style="14" customWidth="1"/>
    <col min="10253" max="10253" width="8.88671875" style="14"/>
    <col min="10254" max="10254" width="2.109375" style="14" customWidth="1"/>
    <col min="10255" max="10256" width="8.88671875" style="14"/>
    <col min="10257" max="10257" width="10.44140625" style="14" customWidth="1"/>
    <col min="10258" max="10258" width="2.5546875" style="14" customWidth="1"/>
    <col min="10259" max="10260" width="8.88671875" style="14"/>
    <col min="10261" max="10261" width="2.44140625" style="14" customWidth="1"/>
    <col min="10262" max="10262" width="12.33203125" style="14" customWidth="1"/>
    <col min="10263" max="10263" width="2.44140625" style="14" customWidth="1"/>
    <col min="10264" max="10265" width="8.88671875" style="14"/>
    <col min="10266" max="10266" width="1.88671875" style="14" customWidth="1"/>
    <col min="10267" max="10267" width="11.44140625" style="14" customWidth="1"/>
    <col min="10268" max="10496" width="8.88671875" style="14"/>
    <col min="10497" max="10497" width="10.33203125" style="14" customWidth="1"/>
    <col min="10498" max="10498" width="8.88671875" style="14"/>
    <col min="10499" max="10499" width="5" style="14" customWidth="1"/>
    <col min="10500" max="10500" width="11.5546875" style="14" customWidth="1"/>
    <col min="10501" max="10501" width="13.109375" style="14" customWidth="1"/>
    <col min="10502" max="10502" width="13" style="14" customWidth="1"/>
    <col min="10503" max="10503" width="9.5546875" style="14" customWidth="1"/>
    <col min="10504" max="10504" width="7.109375" style="14" customWidth="1"/>
    <col min="10505" max="10505" width="9.5546875" style="14" customWidth="1"/>
    <col min="10506" max="10506" width="9.6640625" style="14" customWidth="1"/>
    <col min="10507" max="10507" width="7.109375" style="14" customWidth="1"/>
    <col min="10508" max="10508" width="7.33203125" style="14" customWidth="1"/>
    <col min="10509" max="10509" width="8.88671875" style="14"/>
    <col min="10510" max="10510" width="2.109375" style="14" customWidth="1"/>
    <col min="10511" max="10512" width="8.88671875" style="14"/>
    <col min="10513" max="10513" width="10.44140625" style="14" customWidth="1"/>
    <col min="10514" max="10514" width="2.5546875" style="14" customWidth="1"/>
    <col min="10515" max="10516" width="8.88671875" style="14"/>
    <col min="10517" max="10517" width="2.44140625" style="14" customWidth="1"/>
    <col min="10518" max="10518" width="12.33203125" style="14" customWidth="1"/>
    <col min="10519" max="10519" width="2.44140625" style="14" customWidth="1"/>
    <col min="10520" max="10521" width="8.88671875" style="14"/>
    <col min="10522" max="10522" width="1.88671875" style="14" customWidth="1"/>
    <col min="10523" max="10523" width="11.44140625" style="14" customWidth="1"/>
    <col min="10524" max="10752" width="8.88671875" style="14"/>
    <col min="10753" max="10753" width="10.33203125" style="14" customWidth="1"/>
    <col min="10754" max="10754" width="8.88671875" style="14"/>
    <col min="10755" max="10755" width="5" style="14" customWidth="1"/>
    <col min="10756" max="10756" width="11.5546875" style="14" customWidth="1"/>
    <col min="10757" max="10757" width="13.109375" style="14" customWidth="1"/>
    <col min="10758" max="10758" width="13" style="14" customWidth="1"/>
    <col min="10759" max="10759" width="9.5546875" style="14" customWidth="1"/>
    <col min="10760" max="10760" width="7.109375" style="14" customWidth="1"/>
    <col min="10761" max="10761" width="9.5546875" style="14" customWidth="1"/>
    <col min="10762" max="10762" width="9.6640625" style="14" customWidth="1"/>
    <col min="10763" max="10763" width="7.109375" style="14" customWidth="1"/>
    <col min="10764" max="10764" width="7.33203125" style="14" customWidth="1"/>
    <col min="10765" max="10765" width="8.88671875" style="14"/>
    <col min="10766" max="10766" width="2.109375" style="14" customWidth="1"/>
    <col min="10767" max="10768" width="8.88671875" style="14"/>
    <col min="10769" max="10769" width="10.44140625" style="14" customWidth="1"/>
    <col min="10770" max="10770" width="2.5546875" style="14" customWidth="1"/>
    <col min="10771" max="10772" width="8.88671875" style="14"/>
    <col min="10773" max="10773" width="2.44140625" style="14" customWidth="1"/>
    <col min="10774" max="10774" width="12.33203125" style="14" customWidth="1"/>
    <col min="10775" max="10775" width="2.44140625" style="14" customWidth="1"/>
    <col min="10776" max="10777" width="8.88671875" style="14"/>
    <col min="10778" max="10778" width="1.88671875" style="14" customWidth="1"/>
    <col min="10779" max="10779" width="11.44140625" style="14" customWidth="1"/>
    <col min="10780" max="11008" width="8.88671875" style="14"/>
    <col min="11009" max="11009" width="10.33203125" style="14" customWidth="1"/>
    <col min="11010" max="11010" width="8.88671875" style="14"/>
    <col min="11011" max="11011" width="5" style="14" customWidth="1"/>
    <col min="11012" max="11012" width="11.5546875" style="14" customWidth="1"/>
    <col min="11013" max="11013" width="13.109375" style="14" customWidth="1"/>
    <col min="11014" max="11014" width="13" style="14" customWidth="1"/>
    <col min="11015" max="11015" width="9.5546875" style="14" customWidth="1"/>
    <col min="11016" max="11016" width="7.109375" style="14" customWidth="1"/>
    <col min="11017" max="11017" width="9.5546875" style="14" customWidth="1"/>
    <col min="11018" max="11018" width="9.6640625" style="14" customWidth="1"/>
    <col min="11019" max="11019" width="7.109375" style="14" customWidth="1"/>
    <col min="11020" max="11020" width="7.33203125" style="14" customWidth="1"/>
    <col min="11021" max="11021" width="8.88671875" style="14"/>
    <col min="11022" max="11022" width="2.109375" style="14" customWidth="1"/>
    <col min="11023" max="11024" width="8.88671875" style="14"/>
    <col min="11025" max="11025" width="10.44140625" style="14" customWidth="1"/>
    <col min="11026" max="11026" width="2.5546875" style="14" customWidth="1"/>
    <col min="11027" max="11028" width="8.88671875" style="14"/>
    <col min="11029" max="11029" width="2.44140625" style="14" customWidth="1"/>
    <col min="11030" max="11030" width="12.33203125" style="14" customWidth="1"/>
    <col min="11031" max="11031" width="2.44140625" style="14" customWidth="1"/>
    <col min="11032" max="11033" width="8.88671875" style="14"/>
    <col min="11034" max="11034" width="1.88671875" style="14" customWidth="1"/>
    <col min="11035" max="11035" width="11.44140625" style="14" customWidth="1"/>
    <col min="11036" max="11264" width="8.88671875" style="14"/>
    <col min="11265" max="11265" width="10.33203125" style="14" customWidth="1"/>
    <col min="11266" max="11266" width="8.88671875" style="14"/>
    <col min="11267" max="11267" width="5" style="14" customWidth="1"/>
    <col min="11268" max="11268" width="11.5546875" style="14" customWidth="1"/>
    <col min="11269" max="11269" width="13.109375" style="14" customWidth="1"/>
    <col min="11270" max="11270" width="13" style="14" customWidth="1"/>
    <col min="11271" max="11271" width="9.5546875" style="14" customWidth="1"/>
    <col min="11272" max="11272" width="7.109375" style="14" customWidth="1"/>
    <col min="11273" max="11273" width="9.5546875" style="14" customWidth="1"/>
    <col min="11274" max="11274" width="9.6640625" style="14" customWidth="1"/>
    <col min="11275" max="11275" width="7.109375" style="14" customWidth="1"/>
    <col min="11276" max="11276" width="7.33203125" style="14" customWidth="1"/>
    <col min="11277" max="11277" width="8.88671875" style="14"/>
    <col min="11278" max="11278" width="2.109375" style="14" customWidth="1"/>
    <col min="11279" max="11280" width="8.88671875" style="14"/>
    <col min="11281" max="11281" width="10.44140625" style="14" customWidth="1"/>
    <col min="11282" max="11282" width="2.5546875" style="14" customWidth="1"/>
    <col min="11283" max="11284" width="8.88671875" style="14"/>
    <col min="11285" max="11285" width="2.44140625" style="14" customWidth="1"/>
    <col min="11286" max="11286" width="12.33203125" style="14" customWidth="1"/>
    <col min="11287" max="11287" width="2.44140625" style="14" customWidth="1"/>
    <col min="11288" max="11289" width="8.88671875" style="14"/>
    <col min="11290" max="11290" width="1.88671875" style="14" customWidth="1"/>
    <col min="11291" max="11291" width="11.44140625" style="14" customWidth="1"/>
    <col min="11292" max="11520" width="8.88671875" style="14"/>
    <col min="11521" max="11521" width="10.33203125" style="14" customWidth="1"/>
    <col min="11522" max="11522" width="8.88671875" style="14"/>
    <col min="11523" max="11523" width="5" style="14" customWidth="1"/>
    <col min="11524" max="11524" width="11.5546875" style="14" customWidth="1"/>
    <col min="11525" max="11525" width="13.109375" style="14" customWidth="1"/>
    <col min="11526" max="11526" width="13" style="14" customWidth="1"/>
    <col min="11527" max="11527" width="9.5546875" style="14" customWidth="1"/>
    <col min="11528" max="11528" width="7.109375" style="14" customWidth="1"/>
    <col min="11529" max="11529" width="9.5546875" style="14" customWidth="1"/>
    <col min="11530" max="11530" width="9.6640625" style="14" customWidth="1"/>
    <col min="11531" max="11531" width="7.109375" style="14" customWidth="1"/>
    <col min="11532" max="11532" width="7.33203125" style="14" customWidth="1"/>
    <col min="11533" max="11533" width="8.88671875" style="14"/>
    <col min="11534" max="11534" width="2.109375" style="14" customWidth="1"/>
    <col min="11535" max="11536" width="8.88671875" style="14"/>
    <col min="11537" max="11537" width="10.44140625" style="14" customWidth="1"/>
    <col min="11538" max="11538" width="2.5546875" style="14" customWidth="1"/>
    <col min="11539" max="11540" width="8.88671875" style="14"/>
    <col min="11541" max="11541" width="2.44140625" style="14" customWidth="1"/>
    <col min="11542" max="11542" width="12.33203125" style="14" customWidth="1"/>
    <col min="11543" max="11543" width="2.44140625" style="14" customWidth="1"/>
    <col min="11544" max="11545" width="8.88671875" style="14"/>
    <col min="11546" max="11546" width="1.88671875" style="14" customWidth="1"/>
    <col min="11547" max="11547" width="11.44140625" style="14" customWidth="1"/>
    <col min="11548" max="11776" width="8.88671875" style="14"/>
    <col min="11777" max="11777" width="10.33203125" style="14" customWidth="1"/>
    <col min="11778" max="11778" width="8.88671875" style="14"/>
    <col min="11779" max="11779" width="5" style="14" customWidth="1"/>
    <col min="11780" max="11780" width="11.5546875" style="14" customWidth="1"/>
    <col min="11781" max="11781" width="13.109375" style="14" customWidth="1"/>
    <col min="11782" max="11782" width="13" style="14" customWidth="1"/>
    <col min="11783" max="11783" width="9.5546875" style="14" customWidth="1"/>
    <col min="11784" max="11784" width="7.109375" style="14" customWidth="1"/>
    <col min="11785" max="11785" width="9.5546875" style="14" customWidth="1"/>
    <col min="11786" max="11786" width="9.6640625" style="14" customWidth="1"/>
    <col min="11787" max="11787" width="7.109375" style="14" customWidth="1"/>
    <col min="11788" max="11788" width="7.33203125" style="14" customWidth="1"/>
    <col min="11789" max="11789" width="8.88671875" style="14"/>
    <col min="11790" max="11790" width="2.109375" style="14" customWidth="1"/>
    <col min="11791" max="11792" width="8.88671875" style="14"/>
    <col min="11793" max="11793" width="10.44140625" style="14" customWidth="1"/>
    <col min="11794" max="11794" width="2.5546875" style="14" customWidth="1"/>
    <col min="11795" max="11796" width="8.88671875" style="14"/>
    <col min="11797" max="11797" width="2.44140625" style="14" customWidth="1"/>
    <col min="11798" max="11798" width="12.33203125" style="14" customWidth="1"/>
    <col min="11799" max="11799" width="2.44140625" style="14" customWidth="1"/>
    <col min="11800" max="11801" width="8.88671875" style="14"/>
    <col min="11802" max="11802" width="1.88671875" style="14" customWidth="1"/>
    <col min="11803" max="11803" width="11.44140625" style="14" customWidth="1"/>
    <col min="11804" max="12032" width="8.88671875" style="14"/>
    <col min="12033" max="12033" width="10.33203125" style="14" customWidth="1"/>
    <col min="12034" max="12034" width="8.88671875" style="14"/>
    <col min="12035" max="12035" width="5" style="14" customWidth="1"/>
    <col min="12036" max="12036" width="11.5546875" style="14" customWidth="1"/>
    <col min="12037" max="12037" width="13.109375" style="14" customWidth="1"/>
    <col min="12038" max="12038" width="13" style="14" customWidth="1"/>
    <col min="12039" max="12039" width="9.5546875" style="14" customWidth="1"/>
    <col min="12040" max="12040" width="7.109375" style="14" customWidth="1"/>
    <col min="12041" max="12041" width="9.5546875" style="14" customWidth="1"/>
    <col min="12042" max="12042" width="9.6640625" style="14" customWidth="1"/>
    <col min="12043" max="12043" width="7.109375" style="14" customWidth="1"/>
    <col min="12044" max="12044" width="7.33203125" style="14" customWidth="1"/>
    <col min="12045" max="12045" width="8.88671875" style="14"/>
    <col min="12046" max="12046" width="2.109375" style="14" customWidth="1"/>
    <col min="12047" max="12048" width="8.88671875" style="14"/>
    <col min="12049" max="12049" width="10.44140625" style="14" customWidth="1"/>
    <col min="12050" max="12050" width="2.5546875" style="14" customWidth="1"/>
    <col min="12051" max="12052" width="8.88671875" style="14"/>
    <col min="12053" max="12053" width="2.44140625" style="14" customWidth="1"/>
    <col min="12054" max="12054" width="12.33203125" style="14" customWidth="1"/>
    <col min="12055" max="12055" width="2.44140625" style="14" customWidth="1"/>
    <col min="12056" max="12057" width="8.88671875" style="14"/>
    <col min="12058" max="12058" width="1.88671875" style="14" customWidth="1"/>
    <col min="12059" max="12059" width="11.44140625" style="14" customWidth="1"/>
    <col min="12060" max="12288" width="8.88671875" style="14"/>
    <col min="12289" max="12289" width="10.33203125" style="14" customWidth="1"/>
    <col min="12290" max="12290" width="8.88671875" style="14"/>
    <col min="12291" max="12291" width="5" style="14" customWidth="1"/>
    <col min="12292" max="12292" width="11.5546875" style="14" customWidth="1"/>
    <col min="12293" max="12293" width="13.109375" style="14" customWidth="1"/>
    <col min="12294" max="12294" width="13" style="14" customWidth="1"/>
    <col min="12295" max="12295" width="9.5546875" style="14" customWidth="1"/>
    <col min="12296" max="12296" width="7.109375" style="14" customWidth="1"/>
    <col min="12297" max="12297" width="9.5546875" style="14" customWidth="1"/>
    <col min="12298" max="12298" width="9.6640625" style="14" customWidth="1"/>
    <col min="12299" max="12299" width="7.109375" style="14" customWidth="1"/>
    <col min="12300" max="12300" width="7.33203125" style="14" customWidth="1"/>
    <col min="12301" max="12301" width="8.88671875" style="14"/>
    <col min="12302" max="12302" width="2.109375" style="14" customWidth="1"/>
    <col min="12303" max="12304" width="8.88671875" style="14"/>
    <col min="12305" max="12305" width="10.44140625" style="14" customWidth="1"/>
    <col min="12306" max="12306" width="2.5546875" style="14" customWidth="1"/>
    <col min="12307" max="12308" width="8.88671875" style="14"/>
    <col min="12309" max="12309" width="2.44140625" style="14" customWidth="1"/>
    <col min="12310" max="12310" width="12.33203125" style="14" customWidth="1"/>
    <col min="12311" max="12311" width="2.44140625" style="14" customWidth="1"/>
    <col min="12312" max="12313" width="8.88671875" style="14"/>
    <col min="12314" max="12314" width="1.88671875" style="14" customWidth="1"/>
    <col min="12315" max="12315" width="11.44140625" style="14" customWidth="1"/>
    <col min="12316" max="12544" width="8.88671875" style="14"/>
    <col min="12545" max="12545" width="10.33203125" style="14" customWidth="1"/>
    <col min="12546" max="12546" width="8.88671875" style="14"/>
    <col min="12547" max="12547" width="5" style="14" customWidth="1"/>
    <col min="12548" max="12548" width="11.5546875" style="14" customWidth="1"/>
    <col min="12549" max="12549" width="13.109375" style="14" customWidth="1"/>
    <col min="12550" max="12550" width="13" style="14" customWidth="1"/>
    <col min="12551" max="12551" width="9.5546875" style="14" customWidth="1"/>
    <col min="12552" max="12552" width="7.109375" style="14" customWidth="1"/>
    <col min="12553" max="12553" width="9.5546875" style="14" customWidth="1"/>
    <col min="12554" max="12554" width="9.6640625" style="14" customWidth="1"/>
    <col min="12555" max="12555" width="7.109375" style="14" customWidth="1"/>
    <col min="12556" max="12556" width="7.33203125" style="14" customWidth="1"/>
    <col min="12557" max="12557" width="8.88671875" style="14"/>
    <col min="12558" max="12558" width="2.109375" style="14" customWidth="1"/>
    <col min="12559" max="12560" width="8.88671875" style="14"/>
    <col min="12561" max="12561" width="10.44140625" style="14" customWidth="1"/>
    <col min="12562" max="12562" width="2.5546875" style="14" customWidth="1"/>
    <col min="12563" max="12564" width="8.88671875" style="14"/>
    <col min="12565" max="12565" width="2.44140625" style="14" customWidth="1"/>
    <col min="12566" max="12566" width="12.33203125" style="14" customWidth="1"/>
    <col min="12567" max="12567" width="2.44140625" style="14" customWidth="1"/>
    <col min="12568" max="12569" width="8.88671875" style="14"/>
    <col min="12570" max="12570" width="1.88671875" style="14" customWidth="1"/>
    <col min="12571" max="12571" width="11.44140625" style="14" customWidth="1"/>
    <col min="12572" max="12800" width="8.88671875" style="14"/>
    <col min="12801" max="12801" width="10.33203125" style="14" customWidth="1"/>
    <col min="12802" max="12802" width="8.88671875" style="14"/>
    <col min="12803" max="12803" width="5" style="14" customWidth="1"/>
    <col min="12804" max="12804" width="11.5546875" style="14" customWidth="1"/>
    <col min="12805" max="12805" width="13.109375" style="14" customWidth="1"/>
    <col min="12806" max="12806" width="13" style="14" customWidth="1"/>
    <col min="12807" max="12807" width="9.5546875" style="14" customWidth="1"/>
    <col min="12808" max="12808" width="7.109375" style="14" customWidth="1"/>
    <col min="12809" max="12809" width="9.5546875" style="14" customWidth="1"/>
    <col min="12810" max="12810" width="9.6640625" style="14" customWidth="1"/>
    <col min="12811" max="12811" width="7.109375" style="14" customWidth="1"/>
    <col min="12812" max="12812" width="7.33203125" style="14" customWidth="1"/>
    <col min="12813" max="12813" width="8.88671875" style="14"/>
    <col min="12814" max="12814" width="2.109375" style="14" customWidth="1"/>
    <col min="12815" max="12816" width="8.88671875" style="14"/>
    <col min="12817" max="12817" width="10.44140625" style="14" customWidth="1"/>
    <col min="12818" max="12818" width="2.5546875" style="14" customWidth="1"/>
    <col min="12819" max="12820" width="8.88671875" style="14"/>
    <col min="12821" max="12821" width="2.44140625" style="14" customWidth="1"/>
    <col min="12822" max="12822" width="12.33203125" style="14" customWidth="1"/>
    <col min="12823" max="12823" width="2.44140625" style="14" customWidth="1"/>
    <col min="12824" max="12825" width="8.88671875" style="14"/>
    <col min="12826" max="12826" width="1.88671875" style="14" customWidth="1"/>
    <col min="12827" max="12827" width="11.44140625" style="14" customWidth="1"/>
    <col min="12828" max="13056" width="8.88671875" style="14"/>
    <col min="13057" max="13057" width="10.33203125" style="14" customWidth="1"/>
    <col min="13058" max="13058" width="8.88671875" style="14"/>
    <col min="13059" max="13059" width="5" style="14" customWidth="1"/>
    <col min="13060" max="13060" width="11.5546875" style="14" customWidth="1"/>
    <col min="13061" max="13061" width="13.109375" style="14" customWidth="1"/>
    <col min="13062" max="13062" width="13" style="14" customWidth="1"/>
    <col min="13063" max="13063" width="9.5546875" style="14" customWidth="1"/>
    <col min="13064" max="13064" width="7.109375" style="14" customWidth="1"/>
    <col min="13065" max="13065" width="9.5546875" style="14" customWidth="1"/>
    <col min="13066" max="13066" width="9.6640625" style="14" customWidth="1"/>
    <col min="13067" max="13067" width="7.109375" style="14" customWidth="1"/>
    <col min="13068" max="13068" width="7.33203125" style="14" customWidth="1"/>
    <col min="13069" max="13069" width="8.88671875" style="14"/>
    <col min="13070" max="13070" width="2.109375" style="14" customWidth="1"/>
    <col min="13071" max="13072" width="8.88671875" style="14"/>
    <col min="13073" max="13073" width="10.44140625" style="14" customWidth="1"/>
    <col min="13074" max="13074" width="2.5546875" style="14" customWidth="1"/>
    <col min="13075" max="13076" width="8.88671875" style="14"/>
    <col min="13077" max="13077" width="2.44140625" style="14" customWidth="1"/>
    <col min="13078" max="13078" width="12.33203125" style="14" customWidth="1"/>
    <col min="13079" max="13079" width="2.44140625" style="14" customWidth="1"/>
    <col min="13080" max="13081" width="8.88671875" style="14"/>
    <col min="13082" max="13082" width="1.88671875" style="14" customWidth="1"/>
    <col min="13083" max="13083" width="11.44140625" style="14" customWidth="1"/>
    <col min="13084" max="13312" width="8.88671875" style="14"/>
    <col min="13313" max="13313" width="10.33203125" style="14" customWidth="1"/>
    <col min="13314" max="13314" width="8.88671875" style="14"/>
    <col min="13315" max="13315" width="5" style="14" customWidth="1"/>
    <col min="13316" max="13316" width="11.5546875" style="14" customWidth="1"/>
    <col min="13317" max="13317" width="13.109375" style="14" customWidth="1"/>
    <col min="13318" max="13318" width="13" style="14" customWidth="1"/>
    <col min="13319" max="13319" width="9.5546875" style="14" customWidth="1"/>
    <col min="13320" max="13320" width="7.109375" style="14" customWidth="1"/>
    <col min="13321" max="13321" width="9.5546875" style="14" customWidth="1"/>
    <col min="13322" max="13322" width="9.6640625" style="14" customWidth="1"/>
    <col min="13323" max="13323" width="7.109375" style="14" customWidth="1"/>
    <col min="13324" max="13324" width="7.33203125" style="14" customWidth="1"/>
    <col min="13325" max="13325" width="8.88671875" style="14"/>
    <col min="13326" max="13326" width="2.109375" style="14" customWidth="1"/>
    <col min="13327" max="13328" width="8.88671875" style="14"/>
    <col min="13329" max="13329" width="10.44140625" style="14" customWidth="1"/>
    <col min="13330" max="13330" width="2.5546875" style="14" customWidth="1"/>
    <col min="13331" max="13332" width="8.88671875" style="14"/>
    <col min="13333" max="13333" width="2.44140625" style="14" customWidth="1"/>
    <col min="13334" max="13334" width="12.33203125" style="14" customWidth="1"/>
    <col min="13335" max="13335" width="2.44140625" style="14" customWidth="1"/>
    <col min="13336" max="13337" width="8.88671875" style="14"/>
    <col min="13338" max="13338" width="1.88671875" style="14" customWidth="1"/>
    <col min="13339" max="13339" width="11.44140625" style="14" customWidth="1"/>
    <col min="13340" max="13568" width="8.88671875" style="14"/>
    <col min="13569" max="13569" width="10.33203125" style="14" customWidth="1"/>
    <col min="13570" max="13570" width="8.88671875" style="14"/>
    <col min="13571" max="13571" width="5" style="14" customWidth="1"/>
    <col min="13572" max="13572" width="11.5546875" style="14" customWidth="1"/>
    <col min="13573" max="13573" width="13.109375" style="14" customWidth="1"/>
    <col min="13574" max="13574" width="13" style="14" customWidth="1"/>
    <col min="13575" max="13575" width="9.5546875" style="14" customWidth="1"/>
    <col min="13576" max="13576" width="7.109375" style="14" customWidth="1"/>
    <col min="13577" max="13577" width="9.5546875" style="14" customWidth="1"/>
    <col min="13578" max="13578" width="9.6640625" style="14" customWidth="1"/>
    <col min="13579" max="13579" width="7.109375" style="14" customWidth="1"/>
    <col min="13580" max="13580" width="7.33203125" style="14" customWidth="1"/>
    <col min="13581" max="13581" width="8.88671875" style="14"/>
    <col min="13582" max="13582" width="2.109375" style="14" customWidth="1"/>
    <col min="13583" max="13584" width="8.88671875" style="14"/>
    <col min="13585" max="13585" width="10.44140625" style="14" customWidth="1"/>
    <col min="13586" max="13586" width="2.5546875" style="14" customWidth="1"/>
    <col min="13587" max="13588" width="8.88671875" style="14"/>
    <col min="13589" max="13589" width="2.44140625" style="14" customWidth="1"/>
    <col min="13590" max="13590" width="12.33203125" style="14" customWidth="1"/>
    <col min="13591" max="13591" width="2.44140625" style="14" customWidth="1"/>
    <col min="13592" max="13593" width="8.88671875" style="14"/>
    <col min="13594" max="13594" width="1.88671875" style="14" customWidth="1"/>
    <col min="13595" max="13595" width="11.44140625" style="14" customWidth="1"/>
    <col min="13596" max="13824" width="8.88671875" style="14"/>
    <col min="13825" max="13825" width="10.33203125" style="14" customWidth="1"/>
    <col min="13826" max="13826" width="8.88671875" style="14"/>
    <col min="13827" max="13827" width="5" style="14" customWidth="1"/>
    <col min="13828" max="13828" width="11.5546875" style="14" customWidth="1"/>
    <col min="13829" max="13829" width="13.109375" style="14" customWidth="1"/>
    <col min="13830" max="13830" width="13" style="14" customWidth="1"/>
    <col min="13831" max="13831" width="9.5546875" style="14" customWidth="1"/>
    <col min="13832" max="13832" width="7.109375" style="14" customWidth="1"/>
    <col min="13833" max="13833" width="9.5546875" style="14" customWidth="1"/>
    <col min="13834" max="13834" width="9.6640625" style="14" customWidth="1"/>
    <col min="13835" max="13835" width="7.109375" style="14" customWidth="1"/>
    <col min="13836" max="13836" width="7.33203125" style="14" customWidth="1"/>
    <col min="13837" max="13837" width="8.88671875" style="14"/>
    <col min="13838" max="13838" width="2.109375" style="14" customWidth="1"/>
    <col min="13839" max="13840" width="8.88671875" style="14"/>
    <col min="13841" max="13841" width="10.44140625" style="14" customWidth="1"/>
    <col min="13842" max="13842" width="2.5546875" style="14" customWidth="1"/>
    <col min="13843" max="13844" width="8.88671875" style="14"/>
    <col min="13845" max="13845" width="2.44140625" style="14" customWidth="1"/>
    <col min="13846" max="13846" width="12.33203125" style="14" customWidth="1"/>
    <col min="13847" max="13847" width="2.44140625" style="14" customWidth="1"/>
    <col min="13848" max="13849" width="8.88671875" style="14"/>
    <col min="13850" max="13850" width="1.88671875" style="14" customWidth="1"/>
    <col min="13851" max="13851" width="11.44140625" style="14" customWidth="1"/>
    <col min="13852" max="14080" width="8.88671875" style="14"/>
    <col min="14081" max="14081" width="10.33203125" style="14" customWidth="1"/>
    <col min="14082" max="14082" width="8.88671875" style="14"/>
    <col min="14083" max="14083" width="5" style="14" customWidth="1"/>
    <col min="14084" max="14084" width="11.5546875" style="14" customWidth="1"/>
    <col min="14085" max="14085" width="13.109375" style="14" customWidth="1"/>
    <col min="14086" max="14086" width="13" style="14" customWidth="1"/>
    <col min="14087" max="14087" width="9.5546875" style="14" customWidth="1"/>
    <col min="14088" max="14088" width="7.109375" style="14" customWidth="1"/>
    <col min="14089" max="14089" width="9.5546875" style="14" customWidth="1"/>
    <col min="14090" max="14090" width="9.6640625" style="14" customWidth="1"/>
    <col min="14091" max="14091" width="7.109375" style="14" customWidth="1"/>
    <col min="14092" max="14092" width="7.33203125" style="14" customWidth="1"/>
    <col min="14093" max="14093" width="8.88671875" style="14"/>
    <col min="14094" max="14094" width="2.109375" style="14" customWidth="1"/>
    <col min="14095" max="14096" width="8.88671875" style="14"/>
    <col min="14097" max="14097" width="10.44140625" style="14" customWidth="1"/>
    <col min="14098" max="14098" width="2.5546875" style="14" customWidth="1"/>
    <col min="14099" max="14100" width="8.88671875" style="14"/>
    <col min="14101" max="14101" width="2.44140625" style="14" customWidth="1"/>
    <col min="14102" max="14102" width="12.33203125" style="14" customWidth="1"/>
    <col min="14103" max="14103" width="2.44140625" style="14" customWidth="1"/>
    <col min="14104" max="14105" width="8.88671875" style="14"/>
    <col min="14106" max="14106" width="1.88671875" style="14" customWidth="1"/>
    <col min="14107" max="14107" width="11.44140625" style="14" customWidth="1"/>
    <col min="14108" max="14336" width="8.88671875" style="14"/>
    <col min="14337" max="14337" width="10.33203125" style="14" customWidth="1"/>
    <col min="14338" max="14338" width="8.88671875" style="14"/>
    <col min="14339" max="14339" width="5" style="14" customWidth="1"/>
    <col min="14340" max="14340" width="11.5546875" style="14" customWidth="1"/>
    <col min="14341" max="14341" width="13.109375" style="14" customWidth="1"/>
    <col min="14342" max="14342" width="13" style="14" customWidth="1"/>
    <col min="14343" max="14343" width="9.5546875" style="14" customWidth="1"/>
    <col min="14344" max="14344" width="7.109375" style="14" customWidth="1"/>
    <col min="14345" max="14345" width="9.5546875" style="14" customWidth="1"/>
    <col min="14346" max="14346" width="9.6640625" style="14" customWidth="1"/>
    <col min="14347" max="14347" width="7.109375" style="14" customWidth="1"/>
    <col min="14348" max="14348" width="7.33203125" style="14" customWidth="1"/>
    <col min="14349" max="14349" width="8.88671875" style="14"/>
    <col min="14350" max="14350" width="2.109375" style="14" customWidth="1"/>
    <col min="14351" max="14352" width="8.88671875" style="14"/>
    <col min="14353" max="14353" width="10.44140625" style="14" customWidth="1"/>
    <col min="14354" max="14354" width="2.5546875" style="14" customWidth="1"/>
    <col min="14355" max="14356" width="8.88671875" style="14"/>
    <col min="14357" max="14357" width="2.44140625" style="14" customWidth="1"/>
    <col min="14358" max="14358" width="12.33203125" style="14" customWidth="1"/>
    <col min="14359" max="14359" width="2.44140625" style="14" customWidth="1"/>
    <col min="14360" max="14361" width="8.88671875" style="14"/>
    <col min="14362" max="14362" width="1.88671875" style="14" customWidth="1"/>
    <col min="14363" max="14363" width="11.44140625" style="14" customWidth="1"/>
    <col min="14364" max="14592" width="8.88671875" style="14"/>
    <col min="14593" max="14593" width="10.33203125" style="14" customWidth="1"/>
    <col min="14594" max="14594" width="8.88671875" style="14"/>
    <col min="14595" max="14595" width="5" style="14" customWidth="1"/>
    <col min="14596" max="14596" width="11.5546875" style="14" customWidth="1"/>
    <col min="14597" max="14597" width="13.109375" style="14" customWidth="1"/>
    <col min="14598" max="14598" width="13" style="14" customWidth="1"/>
    <col min="14599" max="14599" width="9.5546875" style="14" customWidth="1"/>
    <col min="14600" max="14600" width="7.109375" style="14" customWidth="1"/>
    <col min="14601" max="14601" width="9.5546875" style="14" customWidth="1"/>
    <col min="14602" max="14602" width="9.6640625" style="14" customWidth="1"/>
    <col min="14603" max="14603" width="7.109375" style="14" customWidth="1"/>
    <col min="14604" max="14604" width="7.33203125" style="14" customWidth="1"/>
    <col min="14605" max="14605" width="8.88671875" style="14"/>
    <col min="14606" max="14606" width="2.109375" style="14" customWidth="1"/>
    <col min="14607" max="14608" width="8.88671875" style="14"/>
    <col min="14609" max="14609" width="10.44140625" style="14" customWidth="1"/>
    <col min="14610" max="14610" width="2.5546875" style="14" customWidth="1"/>
    <col min="14611" max="14612" width="8.88671875" style="14"/>
    <col min="14613" max="14613" width="2.44140625" style="14" customWidth="1"/>
    <col min="14614" max="14614" width="12.33203125" style="14" customWidth="1"/>
    <col min="14615" max="14615" width="2.44140625" style="14" customWidth="1"/>
    <col min="14616" max="14617" width="8.88671875" style="14"/>
    <col min="14618" max="14618" width="1.88671875" style="14" customWidth="1"/>
    <col min="14619" max="14619" width="11.44140625" style="14" customWidth="1"/>
    <col min="14620" max="14848" width="8.88671875" style="14"/>
    <col min="14849" max="14849" width="10.33203125" style="14" customWidth="1"/>
    <col min="14850" max="14850" width="8.88671875" style="14"/>
    <col min="14851" max="14851" width="5" style="14" customWidth="1"/>
    <col min="14852" max="14852" width="11.5546875" style="14" customWidth="1"/>
    <col min="14853" max="14853" width="13.109375" style="14" customWidth="1"/>
    <col min="14854" max="14854" width="13" style="14" customWidth="1"/>
    <col min="14855" max="14855" width="9.5546875" style="14" customWidth="1"/>
    <col min="14856" max="14856" width="7.109375" style="14" customWidth="1"/>
    <col min="14857" max="14857" width="9.5546875" style="14" customWidth="1"/>
    <col min="14858" max="14858" width="9.6640625" style="14" customWidth="1"/>
    <col min="14859" max="14859" width="7.109375" style="14" customWidth="1"/>
    <col min="14860" max="14860" width="7.33203125" style="14" customWidth="1"/>
    <col min="14861" max="14861" width="8.88671875" style="14"/>
    <col min="14862" max="14862" width="2.109375" style="14" customWidth="1"/>
    <col min="14863" max="14864" width="8.88671875" style="14"/>
    <col min="14865" max="14865" width="10.44140625" style="14" customWidth="1"/>
    <col min="14866" max="14866" width="2.5546875" style="14" customWidth="1"/>
    <col min="14867" max="14868" width="8.88671875" style="14"/>
    <col min="14869" max="14869" width="2.44140625" style="14" customWidth="1"/>
    <col min="14870" max="14870" width="12.33203125" style="14" customWidth="1"/>
    <col min="14871" max="14871" width="2.44140625" style="14" customWidth="1"/>
    <col min="14872" max="14873" width="8.88671875" style="14"/>
    <col min="14874" max="14874" width="1.88671875" style="14" customWidth="1"/>
    <col min="14875" max="14875" width="11.44140625" style="14" customWidth="1"/>
    <col min="14876" max="15104" width="8.88671875" style="14"/>
    <col min="15105" max="15105" width="10.33203125" style="14" customWidth="1"/>
    <col min="15106" max="15106" width="8.88671875" style="14"/>
    <col min="15107" max="15107" width="5" style="14" customWidth="1"/>
    <col min="15108" max="15108" width="11.5546875" style="14" customWidth="1"/>
    <col min="15109" max="15109" width="13.109375" style="14" customWidth="1"/>
    <col min="15110" max="15110" width="13" style="14" customWidth="1"/>
    <col min="15111" max="15111" width="9.5546875" style="14" customWidth="1"/>
    <col min="15112" max="15112" width="7.109375" style="14" customWidth="1"/>
    <col min="15113" max="15113" width="9.5546875" style="14" customWidth="1"/>
    <col min="15114" max="15114" width="9.6640625" style="14" customWidth="1"/>
    <col min="15115" max="15115" width="7.109375" style="14" customWidth="1"/>
    <col min="15116" max="15116" width="7.33203125" style="14" customWidth="1"/>
    <col min="15117" max="15117" width="8.88671875" style="14"/>
    <col min="15118" max="15118" width="2.109375" style="14" customWidth="1"/>
    <col min="15119" max="15120" width="8.88671875" style="14"/>
    <col min="15121" max="15121" width="10.44140625" style="14" customWidth="1"/>
    <col min="15122" max="15122" width="2.5546875" style="14" customWidth="1"/>
    <col min="15123" max="15124" width="8.88671875" style="14"/>
    <col min="15125" max="15125" width="2.44140625" style="14" customWidth="1"/>
    <col min="15126" max="15126" width="12.33203125" style="14" customWidth="1"/>
    <col min="15127" max="15127" width="2.44140625" style="14" customWidth="1"/>
    <col min="15128" max="15129" width="8.88671875" style="14"/>
    <col min="15130" max="15130" width="1.88671875" style="14" customWidth="1"/>
    <col min="15131" max="15131" width="11.44140625" style="14" customWidth="1"/>
    <col min="15132" max="15360" width="8.88671875" style="14"/>
    <col min="15361" max="15361" width="10.33203125" style="14" customWidth="1"/>
    <col min="15362" max="15362" width="8.88671875" style="14"/>
    <col min="15363" max="15363" width="5" style="14" customWidth="1"/>
    <col min="15364" max="15364" width="11.5546875" style="14" customWidth="1"/>
    <col min="15365" max="15365" width="13.109375" style="14" customWidth="1"/>
    <col min="15366" max="15366" width="13" style="14" customWidth="1"/>
    <col min="15367" max="15367" width="9.5546875" style="14" customWidth="1"/>
    <col min="15368" max="15368" width="7.109375" style="14" customWidth="1"/>
    <col min="15369" max="15369" width="9.5546875" style="14" customWidth="1"/>
    <col min="15370" max="15370" width="9.6640625" style="14" customWidth="1"/>
    <col min="15371" max="15371" width="7.109375" style="14" customWidth="1"/>
    <col min="15372" max="15372" width="7.33203125" style="14" customWidth="1"/>
    <col min="15373" max="15373" width="8.88671875" style="14"/>
    <col min="15374" max="15374" width="2.109375" style="14" customWidth="1"/>
    <col min="15375" max="15376" width="8.88671875" style="14"/>
    <col min="15377" max="15377" width="10.44140625" style="14" customWidth="1"/>
    <col min="15378" max="15378" width="2.5546875" style="14" customWidth="1"/>
    <col min="15379" max="15380" width="8.88671875" style="14"/>
    <col min="15381" max="15381" width="2.44140625" style="14" customWidth="1"/>
    <col min="15382" max="15382" width="12.33203125" style="14" customWidth="1"/>
    <col min="15383" max="15383" width="2.44140625" style="14" customWidth="1"/>
    <col min="15384" max="15385" width="8.88671875" style="14"/>
    <col min="15386" max="15386" width="1.88671875" style="14" customWidth="1"/>
    <col min="15387" max="15387" width="11.44140625" style="14" customWidth="1"/>
    <col min="15388" max="15616" width="8.88671875" style="14"/>
    <col min="15617" max="15617" width="10.33203125" style="14" customWidth="1"/>
    <col min="15618" max="15618" width="8.88671875" style="14"/>
    <col min="15619" max="15619" width="5" style="14" customWidth="1"/>
    <col min="15620" max="15620" width="11.5546875" style="14" customWidth="1"/>
    <col min="15621" max="15621" width="13.109375" style="14" customWidth="1"/>
    <col min="15622" max="15622" width="13" style="14" customWidth="1"/>
    <col min="15623" max="15623" width="9.5546875" style="14" customWidth="1"/>
    <col min="15624" max="15624" width="7.109375" style="14" customWidth="1"/>
    <col min="15625" max="15625" width="9.5546875" style="14" customWidth="1"/>
    <col min="15626" max="15626" width="9.6640625" style="14" customWidth="1"/>
    <col min="15627" max="15627" width="7.109375" style="14" customWidth="1"/>
    <col min="15628" max="15628" width="7.33203125" style="14" customWidth="1"/>
    <col min="15629" max="15629" width="8.88671875" style="14"/>
    <col min="15630" max="15630" width="2.109375" style="14" customWidth="1"/>
    <col min="15631" max="15632" width="8.88671875" style="14"/>
    <col min="15633" max="15633" width="10.44140625" style="14" customWidth="1"/>
    <col min="15634" max="15634" width="2.5546875" style="14" customWidth="1"/>
    <col min="15635" max="15636" width="8.88671875" style="14"/>
    <col min="15637" max="15637" width="2.44140625" style="14" customWidth="1"/>
    <col min="15638" max="15638" width="12.33203125" style="14" customWidth="1"/>
    <col min="15639" max="15639" width="2.44140625" style="14" customWidth="1"/>
    <col min="15640" max="15641" width="8.88671875" style="14"/>
    <col min="15642" max="15642" width="1.88671875" style="14" customWidth="1"/>
    <col min="15643" max="15643" width="11.44140625" style="14" customWidth="1"/>
    <col min="15644" max="15872" width="8.88671875" style="14"/>
    <col min="15873" max="15873" width="10.33203125" style="14" customWidth="1"/>
    <col min="15874" max="15874" width="8.88671875" style="14"/>
    <col min="15875" max="15875" width="5" style="14" customWidth="1"/>
    <col min="15876" max="15876" width="11.5546875" style="14" customWidth="1"/>
    <col min="15877" max="15877" width="13.109375" style="14" customWidth="1"/>
    <col min="15878" max="15878" width="13" style="14" customWidth="1"/>
    <col min="15879" max="15879" width="9.5546875" style="14" customWidth="1"/>
    <col min="15880" max="15880" width="7.109375" style="14" customWidth="1"/>
    <col min="15881" max="15881" width="9.5546875" style="14" customWidth="1"/>
    <col min="15882" max="15882" width="9.6640625" style="14" customWidth="1"/>
    <col min="15883" max="15883" width="7.109375" style="14" customWidth="1"/>
    <col min="15884" max="15884" width="7.33203125" style="14" customWidth="1"/>
    <col min="15885" max="15885" width="8.88671875" style="14"/>
    <col min="15886" max="15886" width="2.109375" style="14" customWidth="1"/>
    <col min="15887" max="15888" width="8.88671875" style="14"/>
    <col min="15889" max="15889" width="10.44140625" style="14" customWidth="1"/>
    <col min="15890" max="15890" width="2.5546875" style="14" customWidth="1"/>
    <col min="15891" max="15892" width="8.88671875" style="14"/>
    <col min="15893" max="15893" width="2.44140625" style="14" customWidth="1"/>
    <col min="15894" max="15894" width="12.33203125" style="14" customWidth="1"/>
    <col min="15895" max="15895" width="2.44140625" style="14" customWidth="1"/>
    <col min="15896" max="15897" width="8.88671875" style="14"/>
    <col min="15898" max="15898" width="1.88671875" style="14" customWidth="1"/>
    <col min="15899" max="15899" width="11.44140625" style="14" customWidth="1"/>
    <col min="15900" max="16128" width="8.88671875" style="14"/>
    <col min="16129" max="16129" width="10.33203125" style="14" customWidth="1"/>
    <col min="16130" max="16130" width="8.88671875" style="14"/>
    <col min="16131" max="16131" width="5" style="14" customWidth="1"/>
    <col min="16132" max="16132" width="11.5546875" style="14" customWidth="1"/>
    <col min="16133" max="16133" width="13.109375" style="14" customWidth="1"/>
    <col min="16134" max="16134" width="13" style="14" customWidth="1"/>
    <col min="16135" max="16135" width="9.5546875" style="14" customWidth="1"/>
    <col min="16136" max="16136" width="7.109375" style="14" customWidth="1"/>
    <col min="16137" max="16137" width="9.5546875" style="14" customWidth="1"/>
    <col min="16138" max="16138" width="9.6640625" style="14" customWidth="1"/>
    <col min="16139" max="16139" width="7.109375" style="14" customWidth="1"/>
    <col min="16140" max="16140" width="7.33203125" style="14" customWidth="1"/>
    <col min="16141" max="16141" width="8.88671875" style="14"/>
    <col min="16142" max="16142" width="2.109375" style="14" customWidth="1"/>
    <col min="16143" max="16144" width="8.88671875" style="14"/>
    <col min="16145" max="16145" width="10.44140625" style="14" customWidth="1"/>
    <col min="16146" max="16146" width="2.5546875" style="14" customWidth="1"/>
    <col min="16147" max="16148" width="8.88671875" style="14"/>
    <col min="16149" max="16149" width="2.44140625" style="14" customWidth="1"/>
    <col min="16150" max="16150" width="12.33203125" style="14" customWidth="1"/>
    <col min="16151" max="16151" width="2.44140625" style="14" customWidth="1"/>
    <col min="16152" max="16153" width="8.88671875" style="14"/>
    <col min="16154" max="16154" width="1.88671875" style="14" customWidth="1"/>
    <col min="16155" max="16155" width="11.44140625" style="14" customWidth="1"/>
    <col min="16156" max="16384" width="8.88671875" style="14"/>
  </cols>
  <sheetData>
    <row r="1" spans="1:22" s="1" customFormat="1" ht="36" customHeight="1" thickBot="1" x14ac:dyDescent="0.35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s="11" customFormat="1" ht="49.2" customHeight="1" x14ac:dyDescent="0.3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3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IF(ISNUMBER(FIND(LOWER(C4),"aeiou")),A4,D4)</f>
        <v>Aija</v>
      </c>
      <c r="K4" s="15"/>
    </row>
    <row r="5" spans="1:22" x14ac:dyDescent="0.3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IF(ISNUMBER(FIND(LOWER(C5),"aeiou")),A5,D5)</f>
        <v>Dace</v>
      </c>
      <c r="K5" s="15"/>
    </row>
    <row r="6" spans="1:22" x14ac:dyDescent="0.3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3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3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3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3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3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3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3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3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3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4" sqref="B4:B13"/>
    </sheetView>
  </sheetViews>
  <sheetFormatPr defaultColWidth="8.88671875" defaultRowHeight="17.399999999999999" x14ac:dyDescent="0.3"/>
  <cols>
    <col min="1" max="1" width="21" style="9" customWidth="1"/>
    <col min="2" max="2" width="45.33203125" style="9" customWidth="1"/>
    <col min="3" max="16384" width="8.88671875" style="6"/>
  </cols>
  <sheetData>
    <row r="1" spans="1:22" s="1" customFormat="1" ht="36" customHeight="1" thickBot="1" x14ac:dyDescent="0.35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ht="34.200000000000003" customHeight="1" x14ac:dyDescent="0.3">
      <c r="A3" s="5" t="s">
        <v>1</v>
      </c>
      <c r="B3" s="5" t="s">
        <v>2</v>
      </c>
    </row>
    <row r="4" spans="1:22" x14ac:dyDescent="0.3">
      <c r="A4" s="7">
        <v>25</v>
      </c>
      <c r="B4" s="23" t="str">
        <f>IF(OR(A4=1,A4=21,A4=31,A4=41,A4=51,A4=61,A4=71,A4=81,A4=91),"cents","centi")</f>
        <v>centi</v>
      </c>
    </row>
    <row r="5" spans="1:22" x14ac:dyDescent="0.3">
      <c r="A5" s="8">
        <v>1</v>
      </c>
      <c r="B5" s="23" t="str">
        <f t="shared" ref="B5:B13" si="0">IF(OR(A5=1,A5=21,A5=31,A5=41,A5=51,A5=61,A5=71,A5=81,A5=91),"cents","centi")</f>
        <v>cents</v>
      </c>
    </row>
    <row r="6" spans="1:22" x14ac:dyDescent="0.3">
      <c r="A6" s="8">
        <v>2</v>
      </c>
      <c r="B6" s="23" t="str">
        <f t="shared" si="0"/>
        <v>centi</v>
      </c>
    </row>
    <row r="7" spans="1:22" x14ac:dyDescent="0.3">
      <c r="A7" s="8">
        <v>9</v>
      </c>
      <c r="B7" s="23" t="str">
        <f t="shared" si="0"/>
        <v>centi</v>
      </c>
    </row>
    <row r="8" spans="1:22" x14ac:dyDescent="0.3">
      <c r="A8" s="8">
        <v>10</v>
      </c>
      <c r="B8" s="23" t="str">
        <f t="shared" si="0"/>
        <v>centi</v>
      </c>
    </row>
    <row r="9" spans="1:22" x14ac:dyDescent="0.3">
      <c r="A9" s="8">
        <v>11</v>
      </c>
      <c r="B9" s="23" t="str">
        <f t="shared" si="0"/>
        <v>centi</v>
      </c>
    </row>
    <row r="10" spans="1:22" x14ac:dyDescent="0.3">
      <c r="A10" s="8">
        <v>12</v>
      </c>
      <c r="B10" s="23" t="str">
        <f t="shared" si="0"/>
        <v>centi</v>
      </c>
    </row>
    <row r="11" spans="1:22" x14ac:dyDescent="0.3">
      <c r="A11" s="8">
        <v>21</v>
      </c>
      <c r="B11" s="23" t="str">
        <f t="shared" si="0"/>
        <v>cents</v>
      </c>
    </row>
    <row r="12" spans="1:22" x14ac:dyDescent="0.3">
      <c r="A12" s="8">
        <v>99</v>
      </c>
      <c r="B12" s="23" t="str">
        <f t="shared" si="0"/>
        <v>centi</v>
      </c>
    </row>
    <row r="13" spans="1:22" x14ac:dyDescent="0.3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workbookViewId="0">
      <selection activeCell="F7" sqref="F7"/>
    </sheetView>
  </sheetViews>
  <sheetFormatPr defaultRowHeight="14.4" x14ac:dyDescent="0.3"/>
  <cols>
    <col min="1" max="1" width="26.88671875" customWidth="1"/>
  </cols>
  <sheetData>
    <row r="1" spans="1:8" ht="18" customHeight="1" x14ac:dyDescent="0.3">
      <c r="A1" s="33" t="s">
        <v>35</v>
      </c>
      <c r="B1" s="33"/>
      <c r="C1" s="33"/>
      <c r="D1" s="33"/>
    </row>
    <row r="2" spans="1:8" ht="18" customHeight="1" x14ac:dyDescent="0.3">
      <c r="A2" s="34" t="s">
        <v>25</v>
      </c>
      <c r="B2" s="33">
        <v>10</v>
      </c>
      <c r="C2" s="33"/>
      <c r="D2" s="33"/>
    </row>
    <row r="3" spans="1:8" ht="18" customHeight="1" x14ac:dyDescent="0.3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3"/>
    <row r="5" spans="1:8" ht="18" customHeight="1" x14ac:dyDescent="0.3"/>
    <row r="6" spans="1:8" ht="18" customHeight="1" thickBot="1" x14ac:dyDescent="0.3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3">
      <c r="A7" s="33" t="s">
        <v>47</v>
      </c>
      <c r="F7" s="31">
        <f>F16-F15</f>
        <v>2000.0000000000005</v>
      </c>
    </row>
    <row r="8" spans="1:8" ht="18" customHeight="1" x14ac:dyDescent="0.3">
      <c r="A8" s="43" t="s">
        <v>46</v>
      </c>
      <c r="B8" s="43"/>
      <c r="C8" s="43"/>
      <c r="F8" s="46">
        <f>2*(F14-F13)+2*(B2*F12)+((B2*(3*B2))-(B2*B2))-2*(B2*F11)</f>
        <v>882.84271247461902</v>
      </c>
    </row>
    <row r="9" spans="1:8" ht="18" customHeight="1" x14ac:dyDescent="0.3"/>
    <row r="10" spans="1:8" ht="18" customHeight="1" x14ac:dyDescent="0.3">
      <c r="A10" s="43" t="s">
        <v>45</v>
      </c>
      <c r="B10" s="43"/>
      <c r="C10" s="43"/>
    </row>
    <row r="11" spans="1:8" ht="18" customHeight="1" x14ac:dyDescent="0.3">
      <c r="A11" s="43" t="s">
        <v>44</v>
      </c>
      <c r="B11" s="43"/>
      <c r="C11" s="43"/>
      <c r="F11" s="31">
        <f>SQRT($B$2^2/2)</f>
        <v>7.0710678118654755</v>
      </c>
    </row>
    <row r="12" spans="1:8" ht="18" customHeight="1" x14ac:dyDescent="0.3">
      <c r="A12" s="43" t="s">
        <v>43</v>
      </c>
      <c r="B12" s="43"/>
      <c r="C12" s="43"/>
      <c r="F12" s="31">
        <f>SQRT((3*B2)^2/2)</f>
        <v>21.213203435596427</v>
      </c>
    </row>
    <row r="13" spans="1:8" ht="18" customHeight="1" x14ac:dyDescent="0.3">
      <c r="A13" s="43" t="s">
        <v>42</v>
      </c>
      <c r="B13" s="43"/>
      <c r="C13" s="43"/>
      <c r="F13" s="31">
        <f>(F11*F11)/2</f>
        <v>25.000000000000004</v>
      </c>
    </row>
    <row r="14" spans="1:8" ht="18" customHeight="1" x14ac:dyDescent="0.3">
      <c r="A14" s="43" t="s">
        <v>41</v>
      </c>
      <c r="B14" s="43"/>
      <c r="C14" s="43"/>
      <c r="F14" s="46">
        <f>(F12*F12)/2</f>
        <v>225.00000000000003</v>
      </c>
    </row>
    <row r="15" spans="1:8" ht="18" customHeight="1" x14ac:dyDescent="0.3">
      <c r="A15" s="43" t="s">
        <v>40</v>
      </c>
      <c r="B15" s="43"/>
      <c r="C15" s="43"/>
      <c r="D15" s="43"/>
      <c r="E15" s="44"/>
      <c r="F15" s="46">
        <f>F13*B2</f>
        <v>250.00000000000003</v>
      </c>
    </row>
    <row r="16" spans="1:8" ht="18" customHeight="1" x14ac:dyDescent="0.3">
      <c r="A16" s="43" t="s">
        <v>39</v>
      </c>
      <c r="B16" s="43"/>
      <c r="C16" s="43"/>
      <c r="F16" s="31">
        <f>F14*B2</f>
        <v>2250.0000000000005</v>
      </c>
    </row>
    <row r="19" spans="1:3" ht="19.8" x14ac:dyDescent="0.3">
      <c r="A19" s="43"/>
      <c r="B19" s="43"/>
      <c r="C19" s="43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Masha Kolmakova</cp:lastModifiedBy>
  <dcterms:created xsi:type="dcterms:W3CDTF">2021-10-27T13:59:32Z</dcterms:created>
  <dcterms:modified xsi:type="dcterms:W3CDTF">2025-11-27T22:22:20Z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